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gCmnF7ORdI42lJYNJc6m6TL4h9SJHoLNOrSPwGFWgZo="/>
    </ext>
  </extLst>
</workbook>
</file>

<file path=xl/sharedStrings.xml><?xml version="1.0" encoding="utf-8"?>
<sst xmlns="http://schemas.openxmlformats.org/spreadsheetml/2006/main" count="592" uniqueCount="174">
  <si>
    <t>Entrance Plaza</t>
  </si>
  <si>
    <t>Sl.No.</t>
  </si>
  <si>
    <t>Location</t>
  </si>
  <si>
    <t>P.t.z</t>
  </si>
  <si>
    <t>Bullet</t>
  </si>
  <si>
    <t>Dome</t>
  </si>
  <si>
    <t>Ticket counter</t>
  </si>
  <si>
    <t>ok</t>
  </si>
  <si>
    <t>Control room &amp; ticket counter gallery</t>
  </si>
  <si>
    <t>Control room</t>
  </si>
  <si>
    <t>Total PTZ</t>
  </si>
  <si>
    <t>Interpecation room</t>
  </si>
  <si>
    <t>Total Bullet</t>
  </si>
  <si>
    <t>Vip room</t>
  </si>
  <si>
    <t>Total Dome</t>
  </si>
  <si>
    <t>180 Theather</t>
  </si>
  <si>
    <t>Exibhition hall</t>
  </si>
  <si>
    <t>Total Camera</t>
  </si>
  <si>
    <t>Entrance Corridor</t>
  </si>
  <si>
    <t>Sapat stambh (Web Camera)</t>
  </si>
  <si>
    <t>Back side of ticket counter</t>
  </si>
  <si>
    <t>Nature Safari Bus Shed (Pick Up)</t>
  </si>
  <si>
    <t>repair</t>
  </si>
  <si>
    <t>Bus Shed</t>
  </si>
  <si>
    <t>Total Camera.-</t>
  </si>
  <si>
    <t>Safari Plaza</t>
  </si>
  <si>
    <t>Remark</t>
  </si>
  <si>
    <t>Orientation Room</t>
  </si>
  <si>
    <t>Control room T/C</t>
  </si>
  <si>
    <t>Administrative room</t>
  </si>
  <si>
    <t>Corridor</t>
  </si>
  <si>
    <t>Entry Point</t>
  </si>
  <si>
    <t>Pickup Point</t>
  </si>
  <si>
    <t>Drop Point</t>
  </si>
  <si>
    <t>Bird Avivary</t>
  </si>
  <si>
    <t>Drain Area</t>
  </si>
  <si>
    <t>Pond Area</t>
  </si>
  <si>
    <t>Service Corridor</t>
  </si>
  <si>
    <t>Viewing Deck Upper Corridor</t>
  </si>
  <si>
    <t>Keeper Room</t>
  </si>
  <si>
    <t>Store Room</t>
  </si>
  <si>
    <t>Doctor' S Chamber</t>
  </si>
  <si>
    <t>Equipment Room</t>
  </si>
  <si>
    <t>Children Park</t>
  </si>
  <si>
    <t>Near Open Theater</t>
  </si>
  <si>
    <t>Near Avivary Sinageg Bord</t>
  </si>
  <si>
    <t>Near Safari Plaza Road</t>
  </si>
  <si>
    <t>Carnivore Qurantine</t>
  </si>
  <si>
    <t>Main Gate</t>
  </si>
  <si>
    <t>Gallery</t>
  </si>
  <si>
    <t>Kaaral No- 02</t>
  </si>
  <si>
    <t>Commissary</t>
  </si>
  <si>
    <t>Entrance Vehicle</t>
  </si>
  <si>
    <t>Main Entrance</t>
  </si>
  <si>
    <t>Office</t>
  </si>
  <si>
    <t>Kitchen Room</t>
  </si>
  <si>
    <t>Gram Soaking</t>
  </si>
  <si>
    <t>Fruits 2 Veg Room</t>
  </si>
  <si>
    <t>Husk Store</t>
  </si>
  <si>
    <t>Mash Preparation</t>
  </si>
  <si>
    <t>Mash Item</t>
  </si>
  <si>
    <t>Beef</t>
  </si>
  <si>
    <t>Cold Storge</t>
  </si>
  <si>
    <t>Cold Storge Gate</t>
  </si>
  <si>
    <t>Hospital</t>
  </si>
  <si>
    <t>Out Side Main Door</t>
  </si>
  <si>
    <t>Inside Main Door</t>
  </si>
  <si>
    <t>Right Side Gallery</t>
  </si>
  <si>
    <t>Left Side Gallery</t>
  </si>
  <si>
    <t>Laboratory Room</t>
  </si>
  <si>
    <t>Pharmacy Room</t>
  </si>
  <si>
    <t>Staff Room</t>
  </si>
  <si>
    <t>Doctor' s Chamber-1</t>
  </si>
  <si>
    <t>Doctor' s Chamber-2</t>
  </si>
  <si>
    <t>Record Room</t>
  </si>
  <si>
    <t>Equipment Store Room</t>
  </si>
  <si>
    <t>Nuresry Room</t>
  </si>
  <si>
    <t>Operation Room</t>
  </si>
  <si>
    <t>Surgical Room</t>
  </si>
  <si>
    <t>X- Ray Room</t>
  </si>
  <si>
    <t>Observation Room</t>
  </si>
  <si>
    <t>Uitrasound Room</t>
  </si>
  <si>
    <t>Kraal no-4</t>
  </si>
  <si>
    <t>Kraal no-3</t>
  </si>
  <si>
    <t>Behind The Hospital</t>
  </si>
  <si>
    <t>Herbivore Retiring Room</t>
  </si>
  <si>
    <t>Block-A</t>
  </si>
  <si>
    <t>Block-B</t>
  </si>
  <si>
    <t>Block-C</t>
  </si>
  <si>
    <t>Kraal</t>
  </si>
  <si>
    <t>Jarasandh Gate</t>
  </si>
  <si>
    <t>Mrigvihar Gate</t>
  </si>
  <si>
    <t>camera ,not available</t>
  </si>
  <si>
    <t>DG-01</t>
  </si>
  <si>
    <t>DG-02</t>
  </si>
  <si>
    <t>Fire Station (Mrigvihar Gate)</t>
  </si>
  <si>
    <t>04 No &amp; 05 Parking / Stone Wall</t>
  </si>
  <si>
    <t>Main gate 04 No Parking</t>
  </si>
  <si>
    <t>04 No Parking Pole Par (Behind)</t>
  </si>
  <si>
    <t>Bathroom Roof</t>
  </si>
  <si>
    <t>Road Side N.H</t>
  </si>
  <si>
    <t>Road Side N.H 4no &amp; 5no (Middle)</t>
  </si>
  <si>
    <t>05 No (N.H) Road</t>
  </si>
  <si>
    <t xml:space="preserve"> Wire Fault</t>
  </si>
  <si>
    <t>05 No Parking Stone Wall</t>
  </si>
  <si>
    <t>Ticket Counter Cabin</t>
  </si>
  <si>
    <t>Gate No-3</t>
  </si>
  <si>
    <t>Gate No-1</t>
  </si>
  <si>
    <t>Gate No-2</t>
  </si>
  <si>
    <t>Admin Block</t>
  </si>
  <si>
    <t>Director Chamber</t>
  </si>
  <si>
    <t>Deputy Director Chamber</t>
  </si>
  <si>
    <t>Division Office</t>
  </si>
  <si>
    <t>Video Conference Hall</t>
  </si>
  <si>
    <t>Library Room</t>
  </si>
  <si>
    <t>Main Gate Admin</t>
  </si>
  <si>
    <t>Training Area</t>
  </si>
  <si>
    <t>Forester Zone</t>
  </si>
  <si>
    <t>ROF-1</t>
  </si>
  <si>
    <t>ROF-2</t>
  </si>
  <si>
    <t>ROF-3</t>
  </si>
  <si>
    <t>Facility Hall</t>
  </si>
  <si>
    <t>Portico</t>
  </si>
  <si>
    <t>Total Camera-</t>
  </si>
  <si>
    <t>Camera Details Report</t>
  </si>
  <si>
    <t>Lion Retiring room</t>
  </si>
  <si>
    <t>Sr No.</t>
  </si>
  <si>
    <t>Camera Location</t>
  </si>
  <si>
    <t>PTZ</t>
  </si>
  <si>
    <t>Bulet</t>
  </si>
  <si>
    <t>Remarks</t>
  </si>
  <si>
    <t>Keeper room</t>
  </si>
  <si>
    <t>Store room</t>
  </si>
  <si>
    <t>camera weire fault</t>
  </si>
  <si>
    <t>Dark room</t>
  </si>
  <si>
    <t>Cell No.-01</t>
  </si>
  <si>
    <t>Cell No.-02</t>
  </si>
  <si>
    <t>Cell No.-03</t>
  </si>
  <si>
    <t>Cell No.-04</t>
  </si>
  <si>
    <t>Cell No.-05</t>
  </si>
  <si>
    <t>Cell No.-06</t>
  </si>
  <si>
    <t>Cell No.-07</t>
  </si>
  <si>
    <t>Kraal No.-01</t>
  </si>
  <si>
    <t xml:space="preserve">Repair camera </t>
  </si>
  <si>
    <t>Kraal No.-02</t>
  </si>
  <si>
    <t>Kraal No.-03</t>
  </si>
  <si>
    <t>Kraal No.-04</t>
  </si>
  <si>
    <t>Repair camera</t>
  </si>
  <si>
    <t>Behind of Retiring room</t>
  </si>
  <si>
    <t>Lion Double Gate- 01</t>
  </si>
  <si>
    <t>Dg Keeper room</t>
  </si>
  <si>
    <t>Gate 1st</t>
  </si>
  <si>
    <t>Gate 2nd</t>
  </si>
  <si>
    <t>B/W 1st and 2nd Gate</t>
  </si>
  <si>
    <t>Lion Double Gate- 02</t>
  </si>
  <si>
    <t>camera not available</t>
  </si>
  <si>
    <t>Tiger Retiring room</t>
  </si>
  <si>
    <t>Half Dark room</t>
  </si>
  <si>
    <t>Tiger Double Gate- 01</t>
  </si>
  <si>
    <t>cameera not available</t>
  </si>
  <si>
    <t>Tiger Double Gate- 02</t>
  </si>
  <si>
    <t>Leopard Retiring room</t>
  </si>
  <si>
    <t>(1) 8port POE switch  2 lane problem</t>
  </si>
  <si>
    <t>Leopard Double Gate- 01</t>
  </si>
  <si>
    <t>Bus bay</t>
  </si>
  <si>
    <t>In front of Gate</t>
  </si>
  <si>
    <t>Behind of Gate</t>
  </si>
  <si>
    <t>Leopard Double Gate- 02</t>
  </si>
  <si>
    <t>Bear Retiring room</t>
  </si>
  <si>
    <t>Cell No.-08</t>
  </si>
  <si>
    <t>Cell No.-09</t>
  </si>
  <si>
    <t>Compus Area</t>
  </si>
  <si>
    <t>Bear Double Gate- 01</t>
  </si>
  <si>
    <t>Bear Double Gate- 02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</si>
</sst>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000000"/>
      <name val="Times New Roman"/>
    </font>
    <font/>
    <font>
      <b/>
      <sz val="14.0"/>
      <color rgb="FF000000"/>
      <name val="Times New Roman"/>
    </font>
    <font>
      <sz val="12.0"/>
      <color rgb="FF000000"/>
      <name val="Times New Roman"/>
    </font>
    <font>
      <color theme="1"/>
      <name val="Arial"/>
    </font>
    <font>
      <sz val="14.0"/>
      <color rgb="FF000000"/>
      <name val="Times New Roman"/>
    </font>
    <font>
      <sz val="11.0"/>
      <color rgb="FF000000"/>
      <name val="Calibri"/>
    </font>
    <font>
      <sz val="36.0"/>
      <color theme="1"/>
      <name val="Arial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left" shrinkToFit="0" wrapText="0"/>
    </xf>
    <xf borderId="5" fillId="0" fontId="3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5" fillId="0" fontId="4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horizontal="center" shrinkToFit="0" wrapText="0"/>
    </xf>
    <xf borderId="0" fillId="0" fontId="5" numFmtId="0" xfId="0" applyFont="1"/>
    <xf borderId="4" fillId="0" fontId="6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center" shrinkToFit="0" wrapText="0"/>
    </xf>
    <xf borderId="6" fillId="0" fontId="1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vertical="bottom"/>
    </xf>
    <xf borderId="5" fillId="0" fontId="4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left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left" shrinkToFit="0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1.5"/>
    <col customWidth="1" min="3" max="6" width="12.63"/>
    <col customWidth="1" min="11" max="11" width="6.5"/>
    <col customWidth="1" min="13" max="13" width="26.75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15.75" customHeight="1">
      <c r="A3" s="7">
        <v>1.0</v>
      </c>
      <c r="B3" s="8" t="s">
        <v>6</v>
      </c>
      <c r="C3" s="9">
        <v>0.0</v>
      </c>
      <c r="D3" s="9">
        <v>0.0</v>
      </c>
      <c r="E3" s="9">
        <v>5.0</v>
      </c>
      <c r="F3" s="9" t="s">
        <v>7</v>
      </c>
    </row>
    <row r="4" ht="15.75" customHeight="1">
      <c r="A4" s="7">
        <v>2.0</v>
      </c>
      <c r="B4" s="8" t="s">
        <v>8</v>
      </c>
      <c r="C4" s="9">
        <v>0.0</v>
      </c>
      <c r="D4" s="9">
        <v>0.0</v>
      </c>
      <c r="E4" s="9">
        <v>1.0</v>
      </c>
      <c r="F4" s="9" t="s">
        <v>7</v>
      </c>
    </row>
    <row r="5" ht="15.75" customHeight="1">
      <c r="A5" s="7">
        <v>3.0</v>
      </c>
      <c r="B5" s="8" t="s">
        <v>9</v>
      </c>
      <c r="C5" s="9">
        <v>0.0</v>
      </c>
      <c r="D5" s="9">
        <v>0.0</v>
      </c>
      <c r="E5" s="9">
        <v>2.0</v>
      </c>
      <c r="F5" s="9" t="s">
        <v>7</v>
      </c>
      <c r="I5" s="10" t="s">
        <v>10</v>
      </c>
      <c r="J5" s="10">
        <f>C15+C27+C44+C53+C69+C93+C107+C122+C139+C162+C171+C180+C204+C213+C222+C242+C251+C260+C283+C292+C301</f>
        <v>71</v>
      </c>
      <c r="M5" s="10">
        <v>3.0</v>
      </c>
    </row>
    <row r="6" ht="15.75" customHeight="1">
      <c r="A6" s="7">
        <v>4.0</v>
      </c>
      <c r="B6" s="8" t="s">
        <v>11</v>
      </c>
      <c r="C6" s="9">
        <v>0.0</v>
      </c>
      <c r="D6" s="9">
        <v>0.0</v>
      </c>
      <c r="E6" s="9">
        <v>3.0</v>
      </c>
      <c r="F6" s="9" t="s">
        <v>7</v>
      </c>
      <c r="I6" s="10" t="s">
        <v>12</v>
      </c>
      <c r="J6" s="10">
        <f>D15+D27+D44+D53+D69+D93+D107+D122+D139+D162+D171+D180+D204+D213+D222+D242+D251+D260+D283+D292+D301</f>
        <v>92</v>
      </c>
    </row>
    <row r="7" ht="15.75" customHeight="1">
      <c r="A7" s="7">
        <v>5.0</v>
      </c>
      <c r="B7" s="8" t="s">
        <v>13</v>
      </c>
      <c r="C7" s="9">
        <v>0.0</v>
      </c>
      <c r="D7" s="9">
        <v>0.0</v>
      </c>
      <c r="E7" s="9">
        <v>1.0</v>
      </c>
      <c r="F7" s="9" t="s">
        <v>7</v>
      </c>
      <c r="I7" s="10" t="s">
        <v>14</v>
      </c>
      <c r="J7" s="10">
        <f>E15+E27+E44+E53+E69+E93+E107+E122+E139+E162+E171+E180+E204+E213+E222+E242+E251+E260+E283+E292+E301</f>
        <v>177</v>
      </c>
    </row>
    <row r="8" ht="15.75" customHeight="1">
      <c r="A8" s="7">
        <v>6.0</v>
      </c>
      <c r="B8" s="8" t="s">
        <v>15</v>
      </c>
      <c r="C8" s="9">
        <v>0.0</v>
      </c>
      <c r="D8" s="9">
        <v>0.0</v>
      </c>
      <c r="E8" s="9">
        <v>5.0</v>
      </c>
      <c r="F8" s="9" t="s">
        <v>7</v>
      </c>
    </row>
    <row r="9" ht="15.75" customHeight="1">
      <c r="A9" s="7">
        <v>7.0</v>
      </c>
      <c r="B9" s="8" t="s">
        <v>16</v>
      </c>
      <c r="C9" s="9">
        <v>0.0</v>
      </c>
      <c r="D9" s="9">
        <v>0.0</v>
      </c>
      <c r="E9" s="9">
        <v>2.0</v>
      </c>
      <c r="F9" s="9" t="s">
        <v>7</v>
      </c>
      <c r="I9" s="10" t="s">
        <v>17</v>
      </c>
      <c r="J9" s="10">
        <f>SUM(J5:J8)</f>
        <v>340</v>
      </c>
    </row>
    <row r="10" ht="15.75" customHeight="1">
      <c r="A10" s="7">
        <v>8.0</v>
      </c>
      <c r="B10" s="8" t="s">
        <v>18</v>
      </c>
      <c r="C10" s="9">
        <v>5.0</v>
      </c>
      <c r="D10" s="9">
        <v>2.0</v>
      </c>
      <c r="E10" s="9">
        <v>2.0</v>
      </c>
      <c r="F10" s="9" t="s">
        <v>7</v>
      </c>
    </row>
    <row r="11" ht="15.75" customHeight="1">
      <c r="A11" s="7">
        <v>9.0</v>
      </c>
      <c r="B11" s="8" t="s">
        <v>19</v>
      </c>
      <c r="C11" s="9">
        <v>2.0</v>
      </c>
      <c r="D11" s="9">
        <v>0.0</v>
      </c>
      <c r="E11" s="9">
        <v>0.0</v>
      </c>
      <c r="F11" s="9" t="s">
        <v>7</v>
      </c>
    </row>
    <row r="12" ht="15.75" customHeight="1">
      <c r="A12" s="7">
        <v>10.0</v>
      </c>
      <c r="B12" s="8" t="s">
        <v>20</v>
      </c>
      <c r="C12" s="9">
        <v>0.0</v>
      </c>
      <c r="D12" s="9">
        <v>1.0</v>
      </c>
      <c r="E12" s="9">
        <v>0.0</v>
      </c>
      <c r="F12" s="9" t="s">
        <v>7</v>
      </c>
      <c r="I12" s="10" t="s">
        <v>7</v>
      </c>
      <c r="J12" s="10">
        <f t="shared" ref="J12:J13" si="1">COUNTIF(F:F,ok)</f>
        <v>0</v>
      </c>
    </row>
    <row r="13" ht="15.75" customHeight="1">
      <c r="A13" s="7">
        <v>11.0</v>
      </c>
      <c r="B13" s="8" t="s">
        <v>21</v>
      </c>
      <c r="C13" s="9">
        <v>0.0</v>
      </c>
      <c r="D13" s="9">
        <v>1.0</v>
      </c>
      <c r="E13" s="9">
        <v>0.0</v>
      </c>
      <c r="F13" s="9" t="s">
        <v>7</v>
      </c>
      <c r="I13" s="10" t="s">
        <v>22</v>
      </c>
      <c r="J13" s="10">
        <f t="shared" si="1"/>
        <v>0</v>
      </c>
    </row>
    <row r="14" ht="15.75" customHeight="1">
      <c r="A14" s="7">
        <v>12.0</v>
      </c>
      <c r="B14" s="8" t="s">
        <v>23</v>
      </c>
      <c r="C14" s="9">
        <v>0.0</v>
      </c>
      <c r="D14" s="9">
        <v>2.0</v>
      </c>
      <c r="E14" s="9">
        <v>0.0</v>
      </c>
      <c r="F14" s="9" t="s">
        <v>7</v>
      </c>
    </row>
    <row r="15" ht="15.75" customHeight="1">
      <c r="A15" s="11"/>
      <c r="B15" s="5" t="s">
        <v>24</v>
      </c>
      <c r="C15" s="6">
        <v>7.0</v>
      </c>
      <c r="D15" s="12">
        <v>2.0</v>
      </c>
      <c r="E15" s="6">
        <v>21.0</v>
      </c>
      <c r="F15" s="13">
        <v>34.0</v>
      </c>
    </row>
    <row r="16" ht="15.75" customHeight="1">
      <c r="A16" s="14"/>
      <c r="B16" s="15"/>
      <c r="C16" s="16"/>
      <c r="D16" s="16"/>
      <c r="E16" s="16"/>
      <c r="F16" s="14"/>
    </row>
    <row r="17" ht="15.75" customHeight="1">
      <c r="A17" s="17" t="s">
        <v>25</v>
      </c>
      <c r="B17" s="18"/>
      <c r="C17" s="18"/>
      <c r="D17" s="18"/>
      <c r="E17" s="18"/>
      <c r="F17" s="19"/>
    </row>
    <row r="18" ht="15.75" customHeight="1">
      <c r="A18" s="4" t="s">
        <v>1</v>
      </c>
      <c r="B18" s="5" t="s">
        <v>2</v>
      </c>
      <c r="C18" s="6" t="s">
        <v>3</v>
      </c>
      <c r="D18" s="6" t="s">
        <v>4</v>
      </c>
      <c r="E18" s="6" t="s">
        <v>5</v>
      </c>
      <c r="F18" s="6" t="s">
        <v>26</v>
      </c>
    </row>
    <row r="19" ht="15.75" customHeight="1">
      <c r="A19" s="7">
        <v>1.0</v>
      </c>
      <c r="B19" s="8" t="s">
        <v>27</v>
      </c>
      <c r="C19" s="9">
        <v>0.0</v>
      </c>
      <c r="D19" s="9">
        <v>0.0</v>
      </c>
      <c r="E19" s="9">
        <v>2.0</v>
      </c>
      <c r="F19" s="9" t="s">
        <v>7</v>
      </c>
    </row>
    <row r="20" ht="15.75" customHeight="1">
      <c r="A20" s="7">
        <v>2.0</v>
      </c>
      <c r="B20" s="8" t="s">
        <v>28</v>
      </c>
      <c r="C20" s="9">
        <v>0.0</v>
      </c>
      <c r="D20" s="9">
        <v>0.0</v>
      </c>
      <c r="E20" s="9">
        <v>1.0</v>
      </c>
      <c r="F20" s="9" t="s">
        <v>7</v>
      </c>
    </row>
    <row r="21" ht="15.75" customHeight="1">
      <c r="A21" s="7">
        <v>3.0</v>
      </c>
      <c r="B21" s="8" t="s">
        <v>9</v>
      </c>
      <c r="C21" s="9">
        <v>0.0</v>
      </c>
      <c r="D21" s="9">
        <v>0.0</v>
      </c>
      <c r="E21" s="9">
        <v>1.0</v>
      </c>
      <c r="F21" s="9" t="s">
        <v>7</v>
      </c>
    </row>
    <row r="22" ht="15.75" customHeight="1">
      <c r="A22" s="7">
        <v>4.0</v>
      </c>
      <c r="B22" s="8" t="s">
        <v>29</v>
      </c>
      <c r="C22" s="9">
        <v>0.0</v>
      </c>
      <c r="D22" s="9">
        <v>0.0</v>
      </c>
      <c r="E22" s="9">
        <v>1.0</v>
      </c>
      <c r="F22" s="9" t="s">
        <v>7</v>
      </c>
    </row>
    <row r="23" ht="15.75" customHeight="1">
      <c r="A23" s="7">
        <v>5.0</v>
      </c>
      <c r="B23" s="8" t="s">
        <v>30</v>
      </c>
      <c r="C23" s="9">
        <v>1.0</v>
      </c>
      <c r="D23" s="9">
        <v>2.0</v>
      </c>
      <c r="E23" s="9">
        <v>2.0</v>
      </c>
      <c r="F23" s="9" t="s">
        <v>7</v>
      </c>
    </row>
    <row r="24" ht="15.75" customHeight="1">
      <c r="A24" s="7">
        <v>6.0</v>
      </c>
      <c r="B24" s="8" t="s">
        <v>31</v>
      </c>
      <c r="C24" s="9">
        <v>1.0</v>
      </c>
      <c r="D24" s="9">
        <v>0.0</v>
      </c>
      <c r="E24" s="9">
        <v>0.0</v>
      </c>
      <c r="F24" s="9" t="s">
        <v>7</v>
      </c>
    </row>
    <row r="25" ht="15.75" customHeight="1">
      <c r="A25" s="7">
        <v>7.0</v>
      </c>
      <c r="B25" s="8" t="s">
        <v>32</v>
      </c>
      <c r="C25" s="9">
        <v>1.0</v>
      </c>
      <c r="D25" s="9">
        <v>0.0</v>
      </c>
      <c r="E25" s="9">
        <v>0.0</v>
      </c>
      <c r="F25" s="9" t="s">
        <v>7</v>
      </c>
    </row>
    <row r="26" ht="15.75" customHeight="1">
      <c r="A26" s="7">
        <v>8.0</v>
      </c>
      <c r="B26" s="8" t="s">
        <v>33</v>
      </c>
      <c r="C26" s="9">
        <v>1.0</v>
      </c>
      <c r="D26" s="9">
        <v>0.0</v>
      </c>
      <c r="E26" s="9">
        <v>0.0</v>
      </c>
      <c r="F26" s="9" t="s">
        <v>7</v>
      </c>
    </row>
    <row r="27" ht="15.75" customHeight="1">
      <c r="A27" s="11"/>
      <c r="B27" s="5" t="s">
        <v>24</v>
      </c>
      <c r="C27" s="6">
        <v>4.0</v>
      </c>
      <c r="D27" s="6">
        <v>2.0</v>
      </c>
      <c r="E27" s="6">
        <v>7.0</v>
      </c>
      <c r="F27" s="13">
        <v>13.0</v>
      </c>
    </row>
    <row r="28" ht="15.75" customHeight="1">
      <c r="A28" s="20"/>
      <c r="B28" s="21"/>
      <c r="C28" s="20"/>
      <c r="D28" s="20"/>
      <c r="E28" s="20"/>
      <c r="F28" s="20"/>
    </row>
    <row r="29" ht="15.75" customHeight="1">
      <c r="A29" s="20"/>
      <c r="B29" s="21"/>
      <c r="C29" s="20"/>
      <c r="D29" s="20"/>
      <c r="E29" s="20"/>
      <c r="F29" s="20"/>
    </row>
    <row r="30" ht="15.75" customHeight="1">
      <c r="A30" s="1" t="s">
        <v>34</v>
      </c>
      <c r="B30" s="2"/>
      <c r="C30" s="2"/>
      <c r="D30" s="2"/>
      <c r="E30" s="2"/>
      <c r="F30" s="3"/>
    </row>
    <row r="31" ht="15.75" customHeight="1">
      <c r="A31" s="4" t="s">
        <v>1</v>
      </c>
      <c r="B31" s="5" t="s">
        <v>2</v>
      </c>
      <c r="C31" s="6" t="s">
        <v>3</v>
      </c>
      <c r="D31" s="6" t="s">
        <v>4</v>
      </c>
      <c r="E31" s="6" t="s">
        <v>5</v>
      </c>
      <c r="F31" s="6" t="s">
        <v>26</v>
      </c>
    </row>
    <row r="32" ht="15.75" customHeight="1">
      <c r="A32" s="7">
        <v>1.0</v>
      </c>
      <c r="B32" s="8" t="s">
        <v>35</v>
      </c>
      <c r="C32" s="9">
        <v>1.0</v>
      </c>
      <c r="D32" s="9">
        <v>0.0</v>
      </c>
      <c r="E32" s="9">
        <v>0.0</v>
      </c>
      <c r="F32" s="9" t="s">
        <v>7</v>
      </c>
    </row>
    <row r="33" ht="15.75" customHeight="1">
      <c r="A33" s="7">
        <v>2.0</v>
      </c>
      <c r="B33" s="8" t="s">
        <v>36</v>
      </c>
      <c r="C33" s="9">
        <v>1.0</v>
      </c>
      <c r="D33" s="9">
        <v>0.0</v>
      </c>
      <c r="E33" s="9">
        <v>0.0</v>
      </c>
      <c r="F33" s="9" t="s">
        <v>7</v>
      </c>
    </row>
    <row r="34" ht="15.75" customHeight="1">
      <c r="A34" s="7">
        <v>3.0</v>
      </c>
      <c r="B34" s="8" t="s">
        <v>37</v>
      </c>
      <c r="C34" s="9">
        <v>0.0</v>
      </c>
      <c r="D34" s="9">
        <v>0.0</v>
      </c>
      <c r="E34" s="9">
        <v>7.0</v>
      </c>
      <c r="F34" s="9" t="s">
        <v>7</v>
      </c>
    </row>
    <row r="35" ht="15.75" customHeight="1">
      <c r="A35" s="7">
        <v>4.0</v>
      </c>
      <c r="B35" s="8" t="s">
        <v>38</v>
      </c>
      <c r="C35" s="9">
        <v>1.0</v>
      </c>
      <c r="D35" s="9">
        <v>4.0</v>
      </c>
      <c r="E35" s="9">
        <v>0.0</v>
      </c>
      <c r="F35" s="9" t="s">
        <v>7</v>
      </c>
    </row>
    <row r="36" ht="15.75" customHeight="1">
      <c r="A36" s="7">
        <v>5.0</v>
      </c>
      <c r="B36" s="8" t="s">
        <v>39</v>
      </c>
      <c r="C36" s="9">
        <v>0.0</v>
      </c>
      <c r="D36" s="9">
        <v>0.0</v>
      </c>
      <c r="E36" s="9">
        <v>2.0</v>
      </c>
      <c r="F36" s="9" t="s">
        <v>7</v>
      </c>
    </row>
    <row r="37" ht="15.75" customHeight="1">
      <c r="A37" s="7">
        <v>6.0</v>
      </c>
      <c r="B37" s="8" t="s">
        <v>40</v>
      </c>
      <c r="C37" s="9">
        <v>0.0</v>
      </c>
      <c r="D37" s="9">
        <v>0.0</v>
      </c>
      <c r="E37" s="9">
        <v>2.0</v>
      </c>
      <c r="F37" s="9" t="s">
        <v>7</v>
      </c>
    </row>
    <row r="38" ht="15.75" customHeight="1">
      <c r="A38" s="7">
        <v>7.0</v>
      </c>
      <c r="B38" s="8" t="s">
        <v>41</v>
      </c>
      <c r="C38" s="9">
        <v>0.0</v>
      </c>
      <c r="D38" s="9">
        <v>0.0</v>
      </c>
      <c r="E38" s="9">
        <v>1.0</v>
      </c>
      <c r="F38" s="9" t="s">
        <v>7</v>
      </c>
    </row>
    <row r="39" ht="15.75" customHeight="1">
      <c r="A39" s="7">
        <v>8.0</v>
      </c>
      <c r="B39" s="8" t="s">
        <v>42</v>
      </c>
      <c r="C39" s="9">
        <v>0.0</v>
      </c>
      <c r="D39" s="9">
        <v>0.0</v>
      </c>
      <c r="E39" s="9">
        <v>2.0</v>
      </c>
      <c r="F39" s="9" t="s">
        <v>7</v>
      </c>
    </row>
    <row r="40" ht="15.75" customHeight="1">
      <c r="A40" s="7">
        <v>9.0</v>
      </c>
      <c r="B40" s="8" t="s">
        <v>43</v>
      </c>
      <c r="C40" s="9">
        <v>0.0</v>
      </c>
      <c r="D40" s="9">
        <v>1.0</v>
      </c>
      <c r="E40" s="9">
        <v>1.0</v>
      </c>
      <c r="F40" s="9" t="s">
        <v>7</v>
      </c>
    </row>
    <row r="41" ht="15.75" customHeight="1">
      <c r="A41" s="7"/>
      <c r="B41" s="8" t="s">
        <v>44</v>
      </c>
      <c r="C41" s="9">
        <v>0.0</v>
      </c>
      <c r="D41" s="9">
        <v>3.0</v>
      </c>
      <c r="E41" s="9">
        <v>0.0</v>
      </c>
      <c r="F41" s="9" t="s">
        <v>7</v>
      </c>
    </row>
    <row r="42" ht="15.75" customHeight="1">
      <c r="A42" s="7">
        <v>10.0</v>
      </c>
      <c r="B42" s="8" t="s">
        <v>45</v>
      </c>
      <c r="C42" s="9">
        <v>1.0</v>
      </c>
      <c r="D42" s="9">
        <v>0.0</v>
      </c>
      <c r="E42" s="9">
        <v>0.0</v>
      </c>
      <c r="F42" s="9" t="s">
        <v>7</v>
      </c>
    </row>
    <row r="43" ht="15.75" customHeight="1">
      <c r="A43" s="7">
        <v>11.0</v>
      </c>
      <c r="B43" s="8" t="s">
        <v>46</v>
      </c>
      <c r="C43" s="9">
        <v>0.0</v>
      </c>
      <c r="D43" s="9">
        <v>3.0</v>
      </c>
      <c r="E43" s="9">
        <v>0.0</v>
      </c>
      <c r="F43" s="9" t="s">
        <v>7</v>
      </c>
      <c r="M43" s="22"/>
    </row>
    <row r="44" ht="15.75" customHeight="1">
      <c r="A44" s="11"/>
      <c r="B44" s="5" t="s">
        <v>24</v>
      </c>
      <c r="C44" s="6">
        <v>4.0</v>
      </c>
      <c r="D44" s="6">
        <v>11.0</v>
      </c>
      <c r="E44" s="6">
        <v>15.0</v>
      </c>
      <c r="F44" s="13">
        <v>30.0</v>
      </c>
    </row>
    <row r="45" ht="15.75" customHeight="1">
      <c r="A45" s="20"/>
      <c r="B45" s="21"/>
      <c r="C45" s="20"/>
      <c r="D45" s="20"/>
      <c r="E45" s="20"/>
      <c r="F45" s="20"/>
    </row>
    <row r="46" ht="15.75" customHeight="1">
      <c r="A46" s="20"/>
      <c r="B46" s="21"/>
      <c r="C46" s="20"/>
      <c r="D46" s="20"/>
      <c r="E46" s="20"/>
      <c r="F46" s="20"/>
    </row>
    <row r="47" ht="15.75" customHeight="1">
      <c r="A47" s="1" t="s">
        <v>47</v>
      </c>
      <c r="B47" s="2"/>
      <c r="C47" s="2"/>
      <c r="D47" s="2"/>
      <c r="E47" s="2"/>
      <c r="F47" s="3"/>
    </row>
    <row r="48" ht="15.75" customHeight="1">
      <c r="A48" s="4" t="s">
        <v>1</v>
      </c>
      <c r="B48" s="5" t="s">
        <v>2</v>
      </c>
      <c r="C48" s="6" t="s">
        <v>3</v>
      </c>
      <c r="D48" s="6" t="s">
        <v>4</v>
      </c>
      <c r="E48" s="6" t="s">
        <v>5</v>
      </c>
      <c r="F48" s="6" t="s">
        <v>26</v>
      </c>
    </row>
    <row r="49" ht="15.75" customHeight="1">
      <c r="A49" s="7">
        <v>1.0</v>
      </c>
      <c r="B49" s="8" t="s">
        <v>48</v>
      </c>
      <c r="C49" s="9">
        <v>0.0</v>
      </c>
      <c r="D49" s="9">
        <v>1.0</v>
      </c>
      <c r="E49" s="9">
        <v>0.0</v>
      </c>
      <c r="F49" s="9" t="s">
        <v>7</v>
      </c>
    </row>
    <row r="50" ht="15.75" customHeight="1">
      <c r="A50" s="7">
        <v>2.0</v>
      </c>
      <c r="B50" s="8" t="s">
        <v>49</v>
      </c>
      <c r="C50" s="9">
        <v>0.0</v>
      </c>
      <c r="D50" s="9">
        <v>3.0</v>
      </c>
      <c r="E50" s="9">
        <v>0.0</v>
      </c>
      <c r="F50" s="9" t="s">
        <v>7</v>
      </c>
    </row>
    <row r="51" ht="15.75" customHeight="1">
      <c r="A51" s="7">
        <v>3.0</v>
      </c>
      <c r="B51" s="8" t="s">
        <v>39</v>
      </c>
      <c r="C51" s="9">
        <v>0.0</v>
      </c>
      <c r="D51" s="9">
        <v>1.0</v>
      </c>
      <c r="E51" s="9">
        <v>0.0</v>
      </c>
      <c r="F51" s="9" t="s">
        <v>7</v>
      </c>
    </row>
    <row r="52" ht="15.75" customHeight="1">
      <c r="A52" s="7">
        <v>4.0</v>
      </c>
      <c r="B52" s="8" t="s">
        <v>50</v>
      </c>
      <c r="C52" s="9">
        <v>1.0</v>
      </c>
      <c r="D52" s="9">
        <v>0.0</v>
      </c>
      <c r="E52" s="9">
        <v>0.0</v>
      </c>
      <c r="F52" s="9" t="s">
        <v>7</v>
      </c>
    </row>
    <row r="53" ht="15.75" customHeight="1">
      <c r="A53" s="11"/>
      <c r="B53" s="5" t="s">
        <v>24</v>
      </c>
      <c r="C53" s="6">
        <v>1.0</v>
      </c>
      <c r="D53" s="6">
        <v>5.0</v>
      </c>
      <c r="E53" s="6">
        <v>0.0</v>
      </c>
      <c r="F53" s="13">
        <v>6.0</v>
      </c>
    </row>
    <row r="54" ht="15.75" customHeight="1">
      <c r="A54" s="20"/>
      <c r="B54" s="21"/>
      <c r="C54" s="20"/>
      <c r="D54" s="20"/>
      <c r="E54" s="20"/>
      <c r="F54" s="20"/>
    </row>
    <row r="55" ht="15.75" customHeight="1">
      <c r="A55" s="1" t="s">
        <v>51</v>
      </c>
      <c r="B55" s="2"/>
      <c r="C55" s="2"/>
      <c r="D55" s="2"/>
      <c r="E55" s="2"/>
      <c r="F55" s="3"/>
    </row>
    <row r="56" ht="15.75" customHeight="1">
      <c r="A56" s="4" t="s">
        <v>1</v>
      </c>
      <c r="B56" s="5" t="s">
        <v>2</v>
      </c>
      <c r="C56" s="6" t="s">
        <v>3</v>
      </c>
      <c r="D56" s="6" t="s">
        <v>4</v>
      </c>
      <c r="E56" s="6" t="s">
        <v>5</v>
      </c>
      <c r="F56" s="6" t="s">
        <v>26</v>
      </c>
    </row>
    <row r="57" ht="15.75" customHeight="1">
      <c r="A57" s="7">
        <v>1.0</v>
      </c>
      <c r="B57" s="8" t="s">
        <v>52</v>
      </c>
      <c r="C57" s="9">
        <v>1.0</v>
      </c>
      <c r="D57" s="9">
        <v>0.0</v>
      </c>
      <c r="E57" s="9">
        <v>0.0</v>
      </c>
      <c r="F57" s="9" t="s">
        <v>7</v>
      </c>
      <c r="G57" s="10"/>
    </row>
    <row r="58" ht="15.75" customHeight="1">
      <c r="A58" s="7">
        <v>2.0</v>
      </c>
      <c r="B58" s="8" t="s">
        <v>53</v>
      </c>
      <c r="C58" s="9">
        <v>0.0</v>
      </c>
      <c r="D58" s="9">
        <v>1.0</v>
      </c>
      <c r="E58" s="9">
        <v>0.0</v>
      </c>
      <c r="F58" s="9" t="s">
        <v>7</v>
      </c>
      <c r="G58" s="10"/>
    </row>
    <row r="59" ht="15.75" customHeight="1">
      <c r="A59" s="7">
        <v>3.0</v>
      </c>
      <c r="B59" s="8" t="s">
        <v>54</v>
      </c>
      <c r="C59" s="9">
        <v>0.0</v>
      </c>
      <c r="D59" s="9">
        <v>1.0</v>
      </c>
      <c r="E59" s="9">
        <v>0.0</v>
      </c>
      <c r="F59" s="9" t="s">
        <v>7</v>
      </c>
    </row>
    <row r="60" ht="15.75" customHeight="1">
      <c r="A60" s="7">
        <v>6.0</v>
      </c>
      <c r="B60" s="8" t="s">
        <v>55</v>
      </c>
      <c r="C60" s="9">
        <v>0.0</v>
      </c>
      <c r="D60" s="9">
        <v>0.0</v>
      </c>
      <c r="E60" s="9">
        <v>1.0</v>
      </c>
      <c r="F60" s="9" t="s">
        <v>7</v>
      </c>
    </row>
    <row r="61" ht="15.75" customHeight="1">
      <c r="A61" s="7">
        <v>8.0</v>
      </c>
      <c r="B61" s="8" t="s">
        <v>56</v>
      </c>
      <c r="C61" s="9">
        <v>0.0</v>
      </c>
      <c r="D61" s="9">
        <v>0.0</v>
      </c>
      <c r="E61" s="9">
        <v>1.0</v>
      </c>
      <c r="F61" s="9" t="s">
        <v>7</v>
      </c>
    </row>
    <row r="62" ht="15.75" customHeight="1">
      <c r="A62" s="7">
        <v>9.0</v>
      </c>
      <c r="B62" s="8" t="s">
        <v>57</v>
      </c>
      <c r="C62" s="9">
        <v>0.0</v>
      </c>
      <c r="D62" s="9">
        <v>1.0</v>
      </c>
      <c r="E62" s="9">
        <v>0.0</v>
      </c>
      <c r="F62" s="9" t="s">
        <v>7</v>
      </c>
    </row>
    <row r="63" ht="15.75" customHeight="1">
      <c r="A63" s="7">
        <v>11.0</v>
      </c>
      <c r="B63" s="8" t="s">
        <v>58</v>
      </c>
      <c r="C63" s="9">
        <v>0.0</v>
      </c>
      <c r="D63" s="9">
        <v>1.0</v>
      </c>
      <c r="E63" s="9">
        <v>0.0</v>
      </c>
      <c r="F63" s="9" t="s">
        <v>7</v>
      </c>
    </row>
    <row r="64" ht="15.75" customHeight="1">
      <c r="A64" s="7">
        <v>12.0</v>
      </c>
      <c r="B64" s="8" t="s">
        <v>59</v>
      </c>
      <c r="C64" s="9">
        <v>0.0</v>
      </c>
      <c r="D64" s="9">
        <v>0.0</v>
      </c>
      <c r="E64" s="9">
        <v>1.0</v>
      </c>
      <c r="F64" s="9" t="s">
        <v>7</v>
      </c>
    </row>
    <row r="65" ht="15.75" customHeight="1">
      <c r="A65" s="7">
        <v>13.0</v>
      </c>
      <c r="B65" s="8" t="s">
        <v>60</v>
      </c>
      <c r="C65" s="9">
        <v>0.0</v>
      </c>
      <c r="D65" s="9">
        <v>0.0</v>
      </c>
      <c r="E65" s="9">
        <v>1.0</v>
      </c>
      <c r="F65" s="9" t="s">
        <v>7</v>
      </c>
    </row>
    <row r="66" ht="15.75" customHeight="1">
      <c r="A66" s="7">
        <v>14.0</v>
      </c>
      <c r="B66" s="8" t="s">
        <v>61</v>
      </c>
      <c r="C66" s="9">
        <v>0.0</v>
      </c>
      <c r="D66" s="9">
        <v>0.0</v>
      </c>
      <c r="E66" s="9">
        <v>1.0</v>
      </c>
      <c r="F66" s="9" t="s">
        <v>7</v>
      </c>
    </row>
    <row r="67" ht="15.75" customHeight="1">
      <c r="A67" s="7">
        <v>15.0</v>
      </c>
      <c r="B67" s="8" t="s">
        <v>62</v>
      </c>
      <c r="C67" s="9">
        <v>0.0</v>
      </c>
      <c r="D67" s="9">
        <v>0.0</v>
      </c>
      <c r="E67" s="9">
        <v>1.0</v>
      </c>
      <c r="F67" s="9" t="s">
        <v>7</v>
      </c>
    </row>
    <row r="68" ht="15.75" customHeight="1">
      <c r="A68" s="7">
        <v>16.0</v>
      </c>
      <c r="B68" s="8" t="s">
        <v>63</v>
      </c>
      <c r="C68" s="9">
        <v>0.0</v>
      </c>
      <c r="D68" s="9">
        <v>1.0</v>
      </c>
      <c r="E68" s="9">
        <v>0.0</v>
      </c>
      <c r="F68" s="9" t="s">
        <v>7</v>
      </c>
    </row>
    <row r="69" ht="15.75" customHeight="1">
      <c r="A69" s="11"/>
      <c r="B69" s="5" t="s">
        <v>24</v>
      </c>
      <c r="C69" s="6">
        <v>1.0</v>
      </c>
      <c r="D69" s="6">
        <v>5.0</v>
      </c>
      <c r="E69" s="6">
        <v>6.0</v>
      </c>
      <c r="F69" s="13">
        <v>12.0</v>
      </c>
    </row>
    <row r="70" ht="15.75" customHeight="1">
      <c r="A70" s="20"/>
      <c r="B70" s="21"/>
      <c r="C70" s="20"/>
      <c r="D70" s="20"/>
      <c r="E70" s="20"/>
      <c r="F70" s="20"/>
    </row>
    <row r="71" ht="15.75" customHeight="1">
      <c r="A71" s="1" t="s">
        <v>64</v>
      </c>
      <c r="B71" s="2"/>
      <c r="C71" s="2"/>
      <c r="D71" s="2"/>
      <c r="E71" s="2"/>
      <c r="F71" s="3"/>
    </row>
    <row r="72" ht="15.75" customHeight="1">
      <c r="A72" s="4" t="s">
        <v>1</v>
      </c>
      <c r="B72" s="5" t="s">
        <v>2</v>
      </c>
      <c r="C72" s="6" t="s">
        <v>3</v>
      </c>
      <c r="D72" s="6" t="s">
        <v>4</v>
      </c>
      <c r="E72" s="6" t="s">
        <v>5</v>
      </c>
      <c r="F72" s="6" t="s">
        <v>26</v>
      </c>
    </row>
    <row r="73" ht="15.75" customHeight="1">
      <c r="A73" s="7">
        <v>1.0</v>
      </c>
      <c r="B73" s="8" t="s">
        <v>65</v>
      </c>
      <c r="C73" s="9">
        <v>1.0</v>
      </c>
      <c r="D73" s="9">
        <v>0.0</v>
      </c>
      <c r="E73" s="9">
        <v>0.0</v>
      </c>
      <c r="F73" s="9" t="s">
        <v>7</v>
      </c>
    </row>
    <row r="74" ht="15.75" customHeight="1">
      <c r="A74" s="7">
        <v>2.0</v>
      </c>
      <c r="B74" s="8" t="s">
        <v>66</v>
      </c>
      <c r="C74" s="9">
        <v>0.0</v>
      </c>
      <c r="D74" s="9">
        <v>0.0</v>
      </c>
      <c r="E74" s="9">
        <v>1.0</v>
      </c>
      <c r="F74" s="9" t="s">
        <v>7</v>
      </c>
    </row>
    <row r="75" ht="15.75" customHeight="1">
      <c r="A75" s="7">
        <v>3.0</v>
      </c>
      <c r="B75" s="8" t="s">
        <v>67</v>
      </c>
      <c r="C75" s="9">
        <v>1.0</v>
      </c>
      <c r="D75" s="9">
        <v>0.0</v>
      </c>
      <c r="E75" s="9">
        <v>2.0</v>
      </c>
      <c r="F75" s="9" t="s">
        <v>7</v>
      </c>
    </row>
    <row r="76" ht="15.75" customHeight="1">
      <c r="A76" s="7">
        <v>4.0</v>
      </c>
      <c r="B76" s="8" t="s">
        <v>68</v>
      </c>
      <c r="C76" s="9">
        <v>0.0</v>
      </c>
      <c r="D76" s="9">
        <v>0.0</v>
      </c>
      <c r="E76" s="9">
        <v>1.0</v>
      </c>
      <c r="F76" s="9" t="s">
        <v>7</v>
      </c>
    </row>
    <row r="77" ht="15.75" customHeight="1">
      <c r="A77" s="7">
        <v>5.0</v>
      </c>
      <c r="B77" s="8" t="s">
        <v>69</v>
      </c>
      <c r="C77" s="9">
        <v>0.0</v>
      </c>
      <c r="D77" s="9">
        <v>0.0</v>
      </c>
      <c r="E77" s="9">
        <v>1.0</v>
      </c>
      <c r="F77" s="9" t="s">
        <v>7</v>
      </c>
    </row>
    <row r="78" ht="15.75" customHeight="1">
      <c r="A78" s="7">
        <v>6.0</v>
      </c>
      <c r="B78" s="8" t="s">
        <v>70</v>
      </c>
      <c r="C78" s="9">
        <v>0.0</v>
      </c>
      <c r="D78" s="9">
        <v>0.0</v>
      </c>
      <c r="E78" s="9">
        <v>1.0</v>
      </c>
      <c r="F78" s="9" t="s">
        <v>7</v>
      </c>
    </row>
    <row r="79" ht="15.75" customHeight="1">
      <c r="A79" s="7">
        <v>7.0</v>
      </c>
      <c r="B79" s="8" t="s">
        <v>71</v>
      </c>
      <c r="C79" s="9">
        <v>0.0</v>
      </c>
      <c r="D79" s="9">
        <v>0.0</v>
      </c>
      <c r="E79" s="9">
        <v>1.0</v>
      </c>
      <c r="F79" s="9" t="s">
        <v>7</v>
      </c>
    </row>
    <row r="80" ht="15.75" customHeight="1">
      <c r="A80" s="7">
        <v>8.0</v>
      </c>
      <c r="B80" s="8" t="s">
        <v>72</v>
      </c>
      <c r="C80" s="9">
        <v>0.0</v>
      </c>
      <c r="D80" s="9">
        <v>0.0</v>
      </c>
      <c r="E80" s="9">
        <v>1.0</v>
      </c>
      <c r="F80" s="9" t="s">
        <v>7</v>
      </c>
    </row>
    <row r="81" ht="15.75" customHeight="1">
      <c r="A81" s="7">
        <v>9.0</v>
      </c>
      <c r="B81" s="8" t="s">
        <v>73</v>
      </c>
      <c r="C81" s="9">
        <v>0.0</v>
      </c>
      <c r="D81" s="9">
        <v>0.0</v>
      </c>
      <c r="E81" s="9">
        <v>1.0</v>
      </c>
      <c r="F81" s="9" t="s">
        <v>7</v>
      </c>
    </row>
    <row r="82" ht="15.75" customHeight="1">
      <c r="A82" s="7">
        <v>10.0</v>
      </c>
      <c r="B82" s="8" t="s">
        <v>74</v>
      </c>
      <c r="C82" s="9">
        <v>0.0</v>
      </c>
      <c r="D82" s="9">
        <v>0.0</v>
      </c>
      <c r="E82" s="9">
        <v>1.0</v>
      </c>
      <c r="F82" s="9" t="s">
        <v>7</v>
      </c>
    </row>
    <row r="83" ht="15.75" customHeight="1">
      <c r="A83" s="7">
        <v>11.0</v>
      </c>
      <c r="B83" s="8" t="s">
        <v>75</v>
      </c>
      <c r="C83" s="9">
        <v>0.0</v>
      </c>
      <c r="D83" s="9">
        <v>0.0</v>
      </c>
      <c r="E83" s="9">
        <v>1.0</v>
      </c>
      <c r="F83" s="9" t="s">
        <v>7</v>
      </c>
    </row>
    <row r="84" ht="15.75" customHeight="1">
      <c r="A84" s="7">
        <v>12.0</v>
      </c>
      <c r="B84" s="8" t="s">
        <v>76</v>
      </c>
      <c r="C84" s="9">
        <v>1.0</v>
      </c>
      <c r="D84" s="9">
        <v>0.0</v>
      </c>
      <c r="E84" s="9">
        <v>1.0</v>
      </c>
      <c r="F84" s="9" t="s">
        <v>7</v>
      </c>
    </row>
    <row r="85" ht="15.75" customHeight="1">
      <c r="A85" s="7">
        <v>13.0</v>
      </c>
      <c r="B85" s="8" t="s">
        <v>77</v>
      </c>
      <c r="C85" s="9">
        <v>0.0</v>
      </c>
      <c r="D85" s="9">
        <v>0.0</v>
      </c>
      <c r="E85" s="9">
        <v>1.0</v>
      </c>
      <c r="F85" s="9" t="s">
        <v>7</v>
      </c>
    </row>
    <row r="86" ht="15.75" customHeight="1">
      <c r="A86" s="7">
        <v>14.0</v>
      </c>
      <c r="B86" s="8" t="s">
        <v>78</v>
      </c>
      <c r="C86" s="9">
        <v>0.0</v>
      </c>
      <c r="D86" s="9">
        <v>0.0</v>
      </c>
      <c r="E86" s="9">
        <v>1.0</v>
      </c>
      <c r="F86" s="9" t="s">
        <v>7</v>
      </c>
    </row>
    <row r="87" ht="15.75" customHeight="1">
      <c r="A87" s="7">
        <v>15.0</v>
      </c>
      <c r="B87" s="8" t="s">
        <v>79</v>
      </c>
      <c r="C87" s="9">
        <v>0.0</v>
      </c>
      <c r="D87" s="9">
        <v>0.0</v>
      </c>
      <c r="E87" s="9">
        <v>1.0</v>
      </c>
      <c r="F87" s="9" t="s">
        <v>7</v>
      </c>
    </row>
    <row r="88" ht="15.75" customHeight="1">
      <c r="A88" s="7">
        <v>16.0</v>
      </c>
      <c r="B88" s="8" t="s">
        <v>80</v>
      </c>
      <c r="C88" s="9">
        <v>0.0</v>
      </c>
      <c r="D88" s="9">
        <v>0.0</v>
      </c>
      <c r="E88" s="9">
        <v>1.0</v>
      </c>
      <c r="F88" s="9" t="s">
        <v>7</v>
      </c>
    </row>
    <row r="89" ht="15.75" customHeight="1">
      <c r="A89" s="7">
        <v>17.0</v>
      </c>
      <c r="B89" s="8" t="s">
        <v>81</v>
      </c>
      <c r="C89" s="9">
        <v>0.0</v>
      </c>
      <c r="D89" s="9">
        <v>0.0</v>
      </c>
      <c r="E89" s="9">
        <v>1.0</v>
      </c>
      <c r="F89" s="9" t="s">
        <v>7</v>
      </c>
    </row>
    <row r="90" ht="15.75" customHeight="1">
      <c r="A90" s="7">
        <v>18.0</v>
      </c>
      <c r="B90" s="8" t="s">
        <v>82</v>
      </c>
      <c r="C90" s="9">
        <v>1.0</v>
      </c>
      <c r="D90" s="9">
        <v>0.0</v>
      </c>
      <c r="E90" s="9">
        <v>0.0</v>
      </c>
      <c r="F90" s="9" t="s">
        <v>7</v>
      </c>
    </row>
    <row r="91" ht="15.75" customHeight="1">
      <c r="A91" s="7">
        <v>19.0</v>
      </c>
      <c r="B91" s="8" t="s">
        <v>83</v>
      </c>
      <c r="C91" s="9">
        <v>0.0</v>
      </c>
      <c r="D91" s="9">
        <v>1.0</v>
      </c>
      <c r="E91" s="9">
        <v>0.0</v>
      </c>
      <c r="F91" s="9" t="s">
        <v>7</v>
      </c>
    </row>
    <row r="92" ht="15.75" customHeight="1">
      <c r="A92" s="7">
        <v>20.0</v>
      </c>
      <c r="B92" s="8" t="s">
        <v>84</v>
      </c>
      <c r="C92" s="9">
        <v>1.0</v>
      </c>
      <c r="D92" s="9">
        <v>0.0</v>
      </c>
      <c r="E92" s="9">
        <v>0.0</v>
      </c>
      <c r="F92" s="9" t="s">
        <v>7</v>
      </c>
    </row>
    <row r="93" ht="15.75" customHeight="1">
      <c r="A93" s="11"/>
      <c r="B93" s="5" t="s">
        <v>24</v>
      </c>
      <c r="C93" s="6">
        <v>5.0</v>
      </c>
      <c r="D93" s="6">
        <v>1.0</v>
      </c>
      <c r="E93" s="6">
        <v>17.0</v>
      </c>
      <c r="F93" s="13">
        <v>23.0</v>
      </c>
    </row>
    <row r="94" ht="15.75" customHeight="1">
      <c r="A94" s="20"/>
      <c r="B94" s="21"/>
      <c r="C94" s="20"/>
      <c r="D94" s="20"/>
      <c r="E94" s="20"/>
      <c r="F94" s="20"/>
    </row>
    <row r="95" ht="15.75" customHeight="1">
      <c r="A95" s="20"/>
      <c r="B95" s="21"/>
      <c r="C95" s="20"/>
      <c r="D95" s="20"/>
      <c r="E95" s="20"/>
      <c r="F95" s="20"/>
    </row>
    <row r="96" ht="15.75" customHeight="1">
      <c r="A96" s="1" t="s">
        <v>85</v>
      </c>
      <c r="B96" s="2"/>
      <c r="C96" s="2"/>
      <c r="D96" s="2"/>
      <c r="E96" s="2"/>
      <c r="F96" s="3"/>
    </row>
    <row r="97" ht="15.75" customHeight="1">
      <c r="A97" s="4" t="s">
        <v>1</v>
      </c>
      <c r="B97" s="5" t="s">
        <v>2</v>
      </c>
      <c r="C97" s="6" t="s">
        <v>3</v>
      </c>
      <c r="D97" s="6" t="s">
        <v>4</v>
      </c>
      <c r="E97" s="6" t="s">
        <v>5</v>
      </c>
      <c r="F97" s="6" t="s">
        <v>26</v>
      </c>
    </row>
    <row r="98" ht="15.75" customHeight="1">
      <c r="A98" s="7">
        <v>1.0</v>
      </c>
      <c r="B98" s="8" t="s">
        <v>86</v>
      </c>
      <c r="C98" s="9">
        <v>0.0</v>
      </c>
      <c r="D98" s="9">
        <v>0.0</v>
      </c>
      <c r="E98" s="9">
        <v>8.0</v>
      </c>
      <c r="F98" s="9" t="s">
        <v>7</v>
      </c>
    </row>
    <row r="99" ht="15.75" customHeight="1">
      <c r="A99" s="7">
        <v>2.0</v>
      </c>
      <c r="B99" s="8" t="s">
        <v>87</v>
      </c>
      <c r="C99" s="9">
        <v>0.0</v>
      </c>
      <c r="D99" s="9">
        <v>0.0</v>
      </c>
      <c r="E99" s="9">
        <v>8.0</v>
      </c>
      <c r="F99" s="9" t="s">
        <v>7</v>
      </c>
    </row>
    <row r="100" ht="15.75" customHeight="1">
      <c r="A100" s="7">
        <v>3.0</v>
      </c>
      <c r="B100" s="8" t="s">
        <v>88</v>
      </c>
      <c r="C100" s="9">
        <v>1.0</v>
      </c>
      <c r="D100" s="9">
        <v>0.0</v>
      </c>
      <c r="E100" s="9">
        <v>9.0</v>
      </c>
      <c r="F100" s="9" t="s">
        <v>7</v>
      </c>
    </row>
    <row r="101" ht="15.75" customHeight="1">
      <c r="A101" s="7">
        <v>4.0</v>
      </c>
      <c r="B101" s="8" t="s">
        <v>89</v>
      </c>
      <c r="C101" s="9">
        <v>0.0</v>
      </c>
      <c r="D101" s="9">
        <v>1.0</v>
      </c>
      <c r="E101" s="9">
        <v>0.0</v>
      </c>
      <c r="F101" s="9" t="s">
        <v>7</v>
      </c>
    </row>
    <row r="102" ht="15.75" customHeight="1">
      <c r="A102" s="7">
        <v>5.0</v>
      </c>
      <c r="B102" s="8" t="s">
        <v>90</v>
      </c>
      <c r="C102" s="9">
        <v>1.0</v>
      </c>
      <c r="D102" s="9">
        <v>1.0</v>
      </c>
      <c r="E102" s="9">
        <v>0.0</v>
      </c>
      <c r="F102" s="9" t="s">
        <v>7</v>
      </c>
    </row>
    <row r="103" ht="15.75" customHeight="1">
      <c r="A103" s="7">
        <v>6.0</v>
      </c>
      <c r="B103" s="8" t="s">
        <v>91</v>
      </c>
      <c r="C103" s="9">
        <v>1.0</v>
      </c>
      <c r="D103" s="9">
        <v>1.0</v>
      </c>
      <c r="E103" s="9">
        <v>0.0</v>
      </c>
      <c r="F103" s="9" t="s">
        <v>7</v>
      </c>
      <c r="G103" s="10" t="s">
        <v>92</v>
      </c>
    </row>
    <row r="104" ht="15.75" customHeight="1">
      <c r="A104" s="7">
        <v>7.0</v>
      </c>
      <c r="B104" s="8" t="s">
        <v>93</v>
      </c>
      <c r="C104" s="9">
        <v>2.0</v>
      </c>
      <c r="D104" s="9">
        <v>1.0</v>
      </c>
      <c r="E104" s="9">
        <v>1.0</v>
      </c>
      <c r="F104" s="9" t="s">
        <v>7</v>
      </c>
    </row>
    <row r="105" ht="15.75" customHeight="1">
      <c r="A105" s="7">
        <v>8.0</v>
      </c>
      <c r="B105" s="8" t="s">
        <v>94</v>
      </c>
      <c r="C105" s="9">
        <v>2.0</v>
      </c>
      <c r="D105" s="9">
        <v>1.0</v>
      </c>
      <c r="E105" s="9">
        <v>1.0</v>
      </c>
      <c r="F105" s="9" t="s">
        <v>7</v>
      </c>
    </row>
    <row r="106" ht="15.75" customHeight="1">
      <c r="A106" s="7">
        <v>9.0</v>
      </c>
      <c r="B106" s="8" t="s">
        <v>95</v>
      </c>
      <c r="C106" s="9">
        <v>0.0</v>
      </c>
      <c r="D106" s="9">
        <v>2.0</v>
      </c>
      <c r="E106" s="9">
        <v>0.0</v>
      </c>
      <c r="F106" s="9" t="s">
        <v>7</v>
      </c>
    </row>
    <row r="107" ht="15.75" customHeight="1">
      <c r="A107" s="11"/>
      <c r="B107" s="5" t="s">
        <v>24</v>
      </c>
      <c r="C107" s="6">
        <v>7.0</v>
      </c>
      <c r="D107" s="6">
        <v>7.0</v>
      </c>
      <c r="E107" s="6">
        <v>27.0</v>
      </c>
      <c r="F107" s="13">
        <v>41.0</v>
      </c>
    </row>
    <row r="108" ht="15.75" customHeight="1">
      <c r="A108" s="20"/>
      <c r="B108" s="21"/>
      <c r="C108" s="20"/>
      <c r="D108" s="20"/>
      <c r="E108" s="20"/>
      <c r="F108" s="20"/>
    </row>
    <row r="109" ht="15.75" customHeight="1">
      <c r="A109" s="1" t="s">
        <v>96</v>
      </c>
      <c r="B109" s="2"/>
      <c r="C109" s="2"/>
      <c r="D109" s="2"/>
      <c r="E109" s="2"/>
      <c r="F109" s="3"/>
    </row>
    <row r="110" ht="15.75" customHeight="1">
      <c r="A110" s="4" t="s">
        <v>1</v>
      </c>
      <c r="B110" s="5" t="s">
        <v>2</v>
      </c>
      <c r="C110" s="6" t="s">
        <v>3</v>
      </c>
      <c r="D110" s="6" t="s">
        <v>4</v>
      </c>
      <c r="E110" s="6" t="s">
        <v>5</v>
      </c>
      <c r="F110" s="6" t="s">
        <v>26</v>
      </c>
    </row>
    <row r="111" ht="15.75" customHeight="1">
      <c r="A111" s="7">
        <v>1.0</v>
      </c>
      <c r="B111" s="8" t="s">
        <v>97</v>
      </c>
      <c r="C111" s="9">
        <v>1.0</v>
      </c>
      <c r="D111" s="9">
        <v>1.0</v>
      </c>
      <c r="E111" s="9">
        <v>0.0</v>
      </c>
      <c r="F111" s="9" t="s">
        <v>7</v>
      </c>
    </row>
    <row r="112" ht="15.75" customHeight="1">
      <c r="A112" s="7">
        <v>2.0</v>
      </c>
      <c r="B112" s="8" t="s">
        <v>98</v>
      </c>
      <c r="C112" s="9">
        <v>0.0</v>
      </c>
      <c r="D112" s="9">
        <v>2.0</v>
      </c>
      <c r="E112" s="9">
        <v>0.0</v>
      </c>
      <c r="F112" s="9" t="s">
        <v>7</v>
      </c>
    </row>
    <row r="113" ht="15.75" customHeight="1">
      <c r="A113" s="7">
        <v>3.0</v>
      </c>
      <c r="B113" s="8" t="s">
        <v>99</v>
      </c>
      <c r="C113" s="9">
        <v>0.0</v>
      </c>
      <c r="D113" s="9">
        <v>2.0</v>
      </c>
      <c r="E113" s="9">
        <v>0.0</v>
      </c>
      <c r="F113" s="9" t="s">
        <v>7</v>
      </c>
    </row>
    <row r="114" ht="15.75" customHeight="1">
      <c r="A114" s="7">
        <v>4.0</v>
      </c>
      <c r="B114" s="8" t="s">
        <v>100</v>
      </c>
      <c r="C114" s="9">
        <v>1.0</v>
      </c>
      <c r="D114" s="9">
        <v>0.0</v>
      </c>
      <c r="E114" s="9">
        <v>0.0</v>
      </c>
      <c r="F114" s="9" t="s">
        <v>7</v>
      </c>
    </row>
    <row r="115" ht="15.75" customHeight="1">
      <c r="A115" s="7">
        <v>5.0</v>
      </c>
      <c r="B115" s="8" t="s">
        <v>101</v>
      </c>
      <c r="C115" s="9">
        <v>0.0</v>
      </c>
      <c r="D115" s="9">
        <v>2.0</v>
      </c>
      <c r="E115" s="9">
        <v>0.0</v>
      </c>
      <c r="F115" s="9" t="s">
        <v>7</v>
      </c>
    </row>
    <row r="116" ht="15.75" customHeight="1">
      <c r="A116" s="7">
        <v>6.0</v>
      </c>
      <c r="B116" s="8" t="s">
        <v>102</v>
      </c>
      <c r="C116" s="9">
        <v>1.0</v>
      </c>
      <c r="D116" s="9">
        <v>0.0</v>
      </c>
      <c r="E116" s="9">
        <v>0.0</v>
      </c>
      <c r="F116" s="23" t="s">
        <v>7</v>
      </c>
      <c r="G116" s="10" t="s">
        <v>103</v>
      </c>
    </row>
    <row r="117" ht="15.75" customHeight="1">
      <c r="A117" s="7">
        <v>7.0</v>
      </c>
      <c r="B117" s="8" t="s">
        <v>104</v>
      </c>
      <c r="C117" s="9">
        <v>1.0</v>
      </c>
      <c r="D117" s="9">
        <v>1.0</v>
      </c>
      <c r="E117" s="9">
        <v>0.0</v>
      </c>
      <c r="F117" s="9" t="s">
        <v>7</v>
      </c>
    </row>
    <row r="118" ht="15.75" customHeight="1">
      <c r="A118" s="7">
        <v>8.0</v>
      </c>
      <c r="B118" s="8" t="s">
        <v>105</v>
      </c>
      <c r="C118" s="9">
        <v>0.0</v>
      </c>
      <c r="D118" s="9">
        <v>1.0</v>
      </c>
      <c r="E118" s="9">
        <v>1.0</v>
      </c>
      <c r="F118" s="9" t="s">
        <v>7</v>
      </c>
    </row>
    <row r="119" ht="15.75" customHeight="1">
      <c r="A119" s="7">
        <v>9.0</v>
      </c>
      <c r="B119" s="8" t="s">
        <v>106</v>
      </c>
      <c r="C119" s="9">
        <v>0.0</v>
      </c>
      <c r="D119" s="9">
        <v>1.0</v>
      </c>
      <c r="E119" s="9">
        <v>0.0</v>
      </c>
      <c r="F119" s="9" t="s">
        <v>7</v>
      </c>
    </row>
    <row r="120" ht="15.75" customHeight="1">
      <c r="A120" s="7">
        <v>10.0</v>
      </c>
      <c r="B120" s="8" t="s">
        <v>107</v>
      </c>
      <c r="C120" s="9">
        <v>1.0</v>
      </c>
      <c r="D120" s="9">
        <v>1.0</v>
      </c>
      <c r="E120" s="9">
        <v>0.0</v>
      </c>
      <c r="F120" s="9" t="s">
        <v>7</v>
      </c>
    </row>
    <row r="121" ht="15.75" customHeight="1">
      <c r="A121" s="7">
        <v>11.0</v>
      </c>
      <c r="B121" s="8" t="s">
        <v>108</v>
      </c>
      <c r="C121" s="9">
        <v>0.0</v>
      </c>
      <c r="D121" s="9">
        <v>1.0</v>
      </c>
      <c r="E121" s="9">
        <v>0.0</v>
      </c>
      <c r="F121" s="9" t="s">
        <v>7</v>
      </c>
    </row>
    <row r="122" ht="15.75" customHeight="1">
      <c r="A122" s="11"/>
      <c r="B122" s="5" t="s">
        <v>24</v>
      </c>
      <c r="C122" s="6">
        <v>5.0</v>
      </c>
      <c r="D122" s="6">
        <v>12.0</v>
      </c>
      <c r="E122" s="6">
        <v>1.0</v>
      </c>
      <c r="F122" s="6">
        <v>18.0</v>
      </c>
    </row>
    <row r="123" ht="15.75" customHeight="1">
      <c r="A123" s="20"/>
      <c r="B123" s="21"/>
      <c r="C123" s="20"/>
      <c r="D123" s="20"/>
      <c r="E123" s="20"/>
      <c r="F123" s="20"/>
    </row>
    <row r="124" ht="15.75" customHeight="1">
      <c r="A124" s="1" t="s">
        <v>109</v>
      </c>
      <c r="B124" s="2"/>
      <c r="C124" s="2"/>
      <c r="D124" s="2"/>
      <c r="E124" s="2"/>
      <c r="F124" s="3"/>
    </row>
    <row r="125" ht="15.75" customHeight="1">
      <c r="A125" s="4" t="s">
        <v>1</v>
      </c>
      <c r="B125" s="5" t="s">
        <v>2</v>
      </c>
      <c r="C125" s="6" t="s">
        <v>3</v>
      </c>
      <c r="D125" s="6" t="s">
        <v>4</v>
      </c>
      <c r="E125" s="6" t="s">
        <v>5</v>
      </c>
      <c r="F125" s="6" t="s">
        <v>26</v>
      </c>
    </row>
    <row r="126" ht="15.75" customHeight="1">
      <c r="A126" s="7">
        <v>1.0</v>
      </c>
      <c r="B126" s="8" t="s">
        <v>110</v>
      </c>
      <c r="C126" s="9">
        <v>0.0</v>
      </c>
      <c r="D126" s="9">
        <v>0.0</v>
      </c>
      <c r="E126" s="9">
        <v>1.0</v>
      </c>
      <c r="F126" s="9" t="s">
        <v>7</v>
      </c>
    </row>
    <row r="127" ht="15.75" customHeight="1">
      <c r="A127" s="7">
        <v>2.0</v>
      </c>
      <c r="B127" s="8" t="s">
        <v>111</v>
      </c>
      <c r="C127" s="9">
        <v>0.0</v>
      </c>
      <c r="D127" s="9">
        <v>0.0</v>
      </c>
      <c r="E127" s="9">
        <v>1.0</v>
      </c>
      <c r="F127" s="9" t="s">
        <v>7</v>
      </c>
    </row>
    <row r="128" ht="15.75" customHeight="1">
      <c r="A128" s="7">
        <v>3.0</v>
      </c>
      <c r="B128" s="8" t="s">
        <v>112</v>
      </c>
      <c r="C128" s="9">
        <v>0.0</v>
      </c>
      <c r="D128" s="9">
        <v>1.0</v>
      </c>
      <c r="E128" s="9">
        <v>1.0</v>
      </c>
      <c r="F128" s="9" t="s">
        <v>7</v>
      </c>
    </row>
    <row r="129" ht="15.75" customHeight="1">
      <c r="A129" s="7">
        <v>4.0</v>
      </c>
      <c r="B129" s="8" t="s">
        <v>113</v>
      </c>
      <c r="C129" s="9">
        <v>0.0</v>
      </c>
      <c r="D129" s="9">
        <v>0.0</v>
      </c>
      <c r="E129" s="9">
        <v>2.0</v>
      </c>
      <c r="F129" s="9" t="s">
        <v>7</v>
      </c>
    </row>
    <row r="130" ht="15.75" customHeight="1">
      <c r="A130" s="7">
        <v>5.0</v>
      </c>
      <c r="B130" s="8" t="s">
        <v>114</v>
      </c>
      <c r="C130" s="9">
        <v>0.0</v>
      </c>
      <c r="D130" s="9">
        <v>0.0</v>
      </c>
      <c r="E130" s="9">
        <v>1.0</v>
      </c>
      <c r="F130" s="9" t="s">
        <v>7</v>
      </c>
    </row>
    <row r="131" ht="15.75" customHeight="1">
      <c r="A131" s="7">
        <v>6.0</v>
      </c>
      <c r="B131" s="8" t="s">
        <v>115</v>
      </c>
      <c r="C131" s="9">
        <v>0.0</v>
      </c>
      <c r="D131" s="9">
        <v>0.0</v>
      </c>
      <c r="E131" s="9">
        <v>2.0</v>
      </c>
      <c r="F131" s="9" t="s">
        <v>7</v>
      </c>
    </row>
    <row r="132" ht="15.75" customHeight="1">
      <c r="A132" s="7">
        <v>7.0</v>
      </c>
      <c r="B132" s="8" t="s">
        <v>116</v>
      </c>
      <c r="C132" s="9">
        <v>0.0</v>
      </c>
      <c r="D132" s="9">
        <v>0.0</v>
      </c>
      <c r="E132" s="9">
        <v>2.0</v>
      </c>
      <c r="F132" s="9" t="s">
        <v>7</v>
      </c>
    </row>
    <row r="133" ht="15.75" customHeight="1">
      <c r="A133" s="7">
        <v>8.0</v>
      </c>
      <c r="B133" s="8" t="s">
        <v>117</v>
      </c>
      <c r="C133" s="9">
        <v>0.0</v>
      </c>
      <c r="D133" s="9">
        <v>0.0</v>
      </c>
      <c r="E133" s="9">
        <v>1.0</v>
      </c>
      <c r="F133" s="9" t="s">
        <v>7</v>
      </c>
    </row>
    <row r="134" ht="15.75" customHeight="1">
      <c r="A134" s="7">
        <v>9.0</v>
      </c>
      <c r="B134" s="8" t="s">
        <v>118</v>
      </c>
      <c r="C134" s="9">
        <v>0.0</v>
      </c>
      <c r="D134" s="9">
        <v>0.0</v>
      </c>
      <c r="E134" s="9">
        <v>1.0</v>
      </c>
      <c r="F134" s="9" t="s">
        <v>7</v>
      </c>
    </row>
    <row r="135" ht="15.75" customHeight="1">
      <c r="A135" s="7">
        <v>10.0</v>
      </c>
      <c r="B135" s="8" t="s">
        <v>119</v>
      </c>
      <c r="C135" s="9">
        <v>0.0</v>
      </c>
      <c r="D135" s="9">
        <v>0.0</v>
      </c>
      <c r="E135" s="9">
        <v>1.0</v>
      </c>
      <c r="F135" s="9" t="s">
        <v>7</v>
      </c>
    </row>
    <row r="136" ht="15.75" customHeight="1">
      <c r="A136" s="7">
        <v>11.0</v>
      </c>
      <c r="B136" s="8" t="s">
        <v>120</v>
      </c>
      <c r="C136" s="9">
        <v>0.0</v>
      </c>
      <c r="D136" s="9">
        <v>0.0</v>
      </c>
      <c r="E136" s="9">
        <v>1.0</v>
      </c>
      <c r="F136" s="9" t="s">
        <v>7</v>
      </c>
    </row>
    <row r="137" ht="15.75" customHeight="1">
      <c r="A137" s="7"/>
      <c r="B137" s="8" t="s">
        <v>121</v>
      </c>
      <c r="C137" s="9">
        <v>0.0</v>
      </c>
      <c r="D137" s="9">
        <v>0.0</v>
      </c>
      <c r="E137" s="9">
        <v>1.0</v>
      </c>
      <c r="F137" s="9" t="s">
        <v>7</v>
      </c>
    </row>
    <row r="138" ht="15.75" customHeight="1">
      <c r="A138" s="7"/>
      <c r="B138" s="8" t="s">
        <v>122</v>
      </c>
      <c r="C138" s="9">
        <v>1.0</v>
      </c>
      <c r="D138" s="9">
        <v>0.0</v>
      </c>
      <c r="E138" s="9">
        <v>0.0</v>
      </c>
      <c r="F138" s="9" t="s">
        <v>7</v>
      </c>
    </row>
    <row r="139" ht="15.75" customHeight="1">
      <c r="A139" s="11"/>
      <c r="B139" s="5" t="s">
        <v>123</v>
      </c>
      <c r="C139" s="6">
        <v>1.0</v>
      </c>
      <c r="D139" s="6">
        <v>1.0</v>
      </c>
      <c r="E139" s="6">
        <v>15.0</v>
      </c>
      <c r="F139" s="6">
        <v>17.0</v>
      </c>
    </row>
    <row r="140" ht="15.75" customHeight="1">
      <c r="A140" s="20"/>
      <c r="B140" s="21"/>
      <c r="C140" s="20"/>
      <c r="D140" s="20"/>
      <c r="E140" s="20"/>
      <c r="F140" s="20"/>
    </row>
    <row r="141" ht="15.75" customHeight="1">
      <c r="A141" s="20"/>
      <c r="B141" s="21"/>
      <c r="C141" s="20"/>
      <c r="D141" s="20"/>
      <c r="E141" s="20"/>
      <c r="F141" s="20"/>
    </row>
    <row r="142" ht="15.75" customHeight="1">
      <c r="A142" s="1" t="s">
        <v>124</v>
      </c>
      <c r="B142" s="2"/>
      <c r="C142" s="2"/>
      <c r="D142" s="2"/>
      <c r="E142" s="2"/>
      <c r="F142" s="3"/>
    </row>
    <row r="143" ht="15.75" customHeight="1">
      <c r="A143" s="1" t="s">
        <v>125</v>
      </c>
      <c r="B143" s="2"/>
      <c r="C143" s="2"/>
      <c r="D143" s="2"/>
      <c r="E143" s="2"/>
      <c r="F143" s="3"/>
    </row>
    <row r="144" ht="15.75" customHeight="1">
      <c r="A144" s="24" t="s">
        <v>126</v>
      </c>
      <c r="B144" s="25" t="s">
        <v>127</v>
      </c>
      <c r="C144" s="26" t="s">
        <v>128</v>
      </c>
      <c r="D144" s="26" t="s">
        <v>129</v>
      </c>
      <c r="E144" s="26" t="s">
        <v>5</v>
      </c>
      <c r="F144" s="26" t="s">
        <v>130</v>
      </c>
    </row>
    <row r="145" ht="15.75" customHeight="1">
      <c r="A145" s="27">
        <v>1.0</v>
      </c>
      <c r="B145" s="28" t="s">
        <v>131</v>
      </c>
      <c r="C145" s="29">
        <v>0.0</v>
      </c>
      <c r="D145" s="29">
        <v>0.0</v>
      </c>
      <c r="E145" s="29">
        <v>1.0</v>
      </c>
      <c r="F145" s="9" t="s">
        <v>7</v>
      </c>
    </row>
    <row r="146" ht="15.75" customHeight="1">
      <c r="A146" s="27">
        <v>2.0</v>
      </c>
      <c r="B146" s="28" t="s">
        <v>132</v>
      </c>
      <c r="C146" s="29">
        <v>0.0</v>
      </c>
      <c r="D146" s="29">
        <v>0.0</v>
      </c>
      <c r="E146" s="29">
        <v>1.0</v>
      </c>
      <c r="F146" s="9" t="s">
        <v>7</v>
      </c>
    </row>
    <row r="147" ht="15.75" customHeight="1">
      <c r="A147" s="27">
        <v>3.0</v>
      </c>
      <c r="B147" s="28" t="s">
        <v>49</v>
      </c>
      <c r="C147" s="29">
        <v>0.0</v>
      </c>
      <c r="D147" s="29">
        <v>3.0</v>
      </c>
      <c r="E147" s="29">
        <v>3.0</v>
      </c>
      <c r="F147" s="9" t="s">
        <v>7</v>
      </c>
      <c r="G147" s="10" t="s">
        <v>133</v>
      </c>
    </row>
    <row r="148" ht="15.75" customHeight="1">
      <c r="A148" s="27">
        <v>4.0</v>
      </c>
      <c r="B148" s="28" t="s">
        <v>134</v>
      </c>
      <c r="C148" s="29">
        <v>1.0</v>
      </c>
      <c r="D148" s="29">
        <v>0.0</v>
      </c>
      <c r="E148" s="29">
        <v>2.0</v>
      </c>
      <c r="F148" s="9" t="s">
        <v>7</v>
      </c>
    </row>
    <row r="149" ht="15.75" customHeight="1">
      <c r="A149" s="27">
        <v>5.0</v>
      </c>
      <c r="B149" s="28" t="s">
        <v>135</v>
      </c>
      <c r="C149" s="29">
        <v>0.0</v>
      </c>
      <c r="D149" s="29">
        <v>0.0</v>
      </c>
      <c r="E149" s="29">
        <v>1.0</v>
      </c>
      <c r="F149" s="9" t="s">
        <v>7</v>
      </c>
    </row>
    <row r="150" ht="15.75" customHeight="1">
      <c r="A150" s="27">
        <v>6.0</v>
      </c>
      <c r="B150" s="28" t="s">
        <v>136</v>
      </c>
      <c r="C150" s="29">
        <v>1.0</v>
      </c>
      <c r="D150" s="29">
        <v>0.0</v>
      </c>
      <c r="E150" s="29">
        <v>2.0</v>
      </c>
      <c r="F150" s="9" t="s">
        <v>7</v>
      </c>
    </row>
    <row r="151" ht="15.75" customHeight="1">
      <c r="A151" s="27">
        <v>7.0</v>
      </c>
      <c r="B151" s="28" t="s">
        <v>137</v>
      </c>
      <c r="C151" s="29">
        <v>0.0</v>
      </c>
      <c r="D151" s="29">
        <v>0.0</v>
      </c>
      <c r="E151" s="29">
        <v>1.0</v>
      </c>
      <c r="F151" s="9" t="s">
        <v>7</v>
      </c>
    </row>
    <row r="152" ht="15.75" customHeight="1">
      <c r="A152" s="27">
        <v>8.0</v>
      </c>
      <c r="B152" s="28" t="s">
        <v>138</v>
      </c>
      <c r="C152" s="29">
        <v>0.0</v>
      </c>
      <c r="D152" s="29">
        <v>0.0</v>
      </c>
      <c r="E152" s="29">
        <v>1.0</v>
      </c>
      <c r="F152" s="9" t="s">
        <v>7</v>
      </c>
    </row>
    <row r="153" ht="15.75" customHeight="1">
      <c r="A153" s="27">
        <v>9.0</v>
      </c>
      <c r="B153" s="28" t="s">
        <v>139</v>
      </c>
      <c r="C153" s="29">
        <v>0.0</v>
      </c>
      <c r="D153" s="29">
        <v>0.0</v>
      </c>
      <c r="E153" s="29">
        <v>1.0</v>
      </c>
      <c r="F153" s="9" t="s">
        <v>7</v>
      </c>
    </row>
    <row r="154" ht="15.75" customHeight="1">
      <c r="A154" s="27">
        <v>10.0</v>
      </c>
      <c r="B154" s="28" t="s">
        <v>140</v>
      </c>
      <c r="C154" s="29">
        <v>0.0</v>
      </c>
      <c r="D154" s="29">
        <v>0.0</v>
      </c>
      <c r="E154" s="29">
        <v>1.0</v>
      </c>
      <c r="F154" s="9" t="s">
        <v>7</v>
      </c>
    </row>
    <row r="155" ht="15.75" customHeight="1">
      <c r="A155" s="27">
        <v>11.0</v>
      </c>
      <c r="B155" s="30" t="s">
        <v>141</v>
      </c>
      <c r="C155" s="13">
        <v>1.0</v>
      </c>
      <c r="D155" s="13">
        <v>0.0</v>
      </c>
      <c r="E155" s="13">
        <v>2.0</v>
      </c>
      <c r="F155" s="9" t="s">
        <v>7</v>
      </c>
    </row>
    <row r="156" ht="15.75" customHeight="1">
      <c r="A156" s="27">
        <v>12.0</v>
      </c>
      <c r="B156" s="28" t="s">
        <v>142</v>
      </c>
      <c r="C156" s="29">
        <v>0.0</v>
      </c>
      <c r="D156" s="29">
        <v>2.0</v>
      </c>
      <c r="E156" s="29">
        <v>0.0</v>
      </c>
      <c r="F156" s="9" t="s">
        <v>7</v>
      </c>
      <c r="G156" s="10" t="s">
        <v>143</v>
      </c>
    </row>
    <row r="157" ht="15.75" customHeight="1">
      <c r="A157" s="27">
        <v>13.0</v>
      </c>
      <c r="B157" s="28" t="s">
        <v>144</v>
      </c>
      <c r="C157" s="29">
        <v>1.0</v>
      </c>
      <c r="D157" s="29">
        <v>2.0</v>
      </c>
      <c r="E157" s="29">
        <v>0.0</v>
      </c>
      <c r="F157" s="9" t="s">
        <v>7</v>
      </c>
      <c r="G157" s="10" t="s">
        <v>143</v>
      </c>
    </row>
    <row r="158" ht="15.75" customHeight="1">
      <c r="A158" s="27">
        <v>14.0</v>
      </c>
      <c r="B158" s="28" t="s">
        <v>145</v>
      </c>
      <c r="C158" s="29">
        <v>1.0</v>
      </c>
      <c r="D158" s="29">
        <v>2.0</v>
      </c>
      <c r="E158" s="29">
        <v>0.0</v>
      </c>
      <c r="F158" s="9" t="s">
        <v>7</v>
      </c>
    </row>
    <row r="159" ht="15.75" customHeight="1">
      <c r="A159" s="27">
        <v>15.0</v>
      </c>
      <c r="B159" s="28" t="s">
        <v>146</v>
      </c>
      <c r="C159" s="29">
        <v>0.0</v>
      </c>
      <c r="D159" s="29">
        <v>2.0</v>
      </c>
      <c r="E159" s="29">
        <v>0.0</v>
      </c>
      <c r="F159" s="9" t="s">
        <v>7</v>
      </c>
      <c r="G159" s="10" t="s">
        <v>147</v>
      </c>
    </row>
    <row r="160" ht="15.75" customHeight="1">
      <c r="A160" s="27">
        <v>16.0</v>
      </c>
      <c r="B160" s="28" t="s">
        <v>48</v>
      </c>
      <c r="C160" s="29">
        <v>1.0</v>
      </c>
      <c r="D160" s="29">
        <v>0.0</v>
      </c>
      <c r="E160" s="29">
        <v>0.0</v>
      </c>
      <c r="F160" s="9" t="s">
        <v>7</v>
      </c>
      <c r="G160" s="10" t="s">
        <v>147</v>
      </c>
    </row>
    <row r="161" ht="15.75" customHeight="1">
      <c r="A161" s="27">
        <v>17.0</v>
      </c>
      <c r="B161" s="28" t="s">
        <v>148</v>
      </c>
      <c r="C161" s="29">
        <v>2.0</v>
      </c>
      <c r="D161" s="29">
        <v>0.0</v>
      </c>
      <c r="E161" s="29">
        <v>0.0</v>
      </c>
      <c r="F161" s="9" t="s">
        <v>7</v>
      </c>
    </row>
    <row r="162" ht="15.75" customHeight="1">
      <c r="A162" s="27"/>
      <c r="B162" s="25" t="s">
        <v>17</v>
      </c>
      <c r="C162" s="26">
        <v>8.0</v>
      </c>
      <c r="D162" s="26">
        <v>11.0</v>
      </c>
      <c r="E162" s="26">
        <v>16.0</v>
      </c>
      <c r="F162" s="26">
        <v>35.0</v>
      </c>
    </row>
    <row r="163" ht="15.75" customHeight="1">
      <c r="A163" s="31"/>
      <c r="B163" s="32"/>
      <c r="C163" s="31"/>
      <c r="D163" s="31"/>
      <c r="E163" s="31"/>
      <c r="F163" s="31"/>
    </row>
    <row r="164" ht="15.75" customHeight="1">
      <c r="A164" s="31"/>
      <c r="B164" s="32"/>
      <c r="C164" s="31"/>
      <c r="D164" s="31"/>
      <c r="E164" s="31"/>
      <c r="F164" s="31"/>
    </row>
    <row r="165" ht="15.75" customHeight="1">
      <c r="A165" s="1" t="s">
        <v>149</v>
      </c>
      <c r="B165" s="2"/>
      <c r="C165" s="2"/>
      <c r="D165" s="2"/>
      <c r="E165" s="2"/>
      <c r="F165" s="3"/>
    </row>
    <row r="166" ht="15.75" customHeight="1">
      <c r="A166" s="24" t="s">
        <v>126</v>
      </c>
      <c r="B166" s="25" t="s">
        <v>127</v>
      </c>
      <c r="C166" s="26" t="s">
        <v>128</v>
      </c>
      <c r="D166" s="26" t="s">
        <v>129</v>
      </c>
      <c r="E166" s="26" t="s">
        <v>5</v>
      </c>
      <c r="F166" s="26" t="s">
        <v>130</v>
      </c>
    </row>
    <row r="167" ht="15.75" customHeight="1">
      <c r="A167" s="27">
        <v>1.0</v>
      </c>
      <c r="B167" s="28" t="s">
        <v>150</v>
      </c>
      <c r="C167" s="29">
        <v>0.0</v>
      </c>
      <c r="D167" s="29">
        <v>0.0</v>
      </c>
      <c r="E167" s="29">
        <v>1.0</v>
      </c>
      <c r="F167" s="9" t="s">
        <v>7</v>
      </c>
    </row>
    <row r="168" ht="15.75" customHeight="1">
      <c r="A168" s="27">
        <v>2.0</v>
      </c>
      <c r="B168" s="28" t="s">
        <v>151</v>
      </c>
      <c r="C168" s="29">
        <v>1.0</v>
      </c>
      <c r="D168" s="29">
        <v>0.0</v>
      </c>
      <c r="E168" s="29">
        <v>0.0</v>
      </c>
      <c r="F168" s="9" t="s">
        <v>7</v>
      </c>
    </row>
    <row r="169" ht="15.75" customHeight="1">
      <c r="A169" s="27">
        <v>3.0</v>
      </c>
      <c r="B169" s="28" t="s">
        <v>152</v>
      </c>
      <c r="C169" s="29">
        <v>1.0</v>
      </c>
      <c r="D169" s="29">
        <v>0.0</v>
      </c>
      <c r="E169" s="29">
        <v>0.0</v>
      </c>
      <c r="F169" s="9" t="s">
        <v>7</v>
      </c>
    </row>
    <row r="170" ht="15.75" customHeight="1">
      <c r="A170" s="27">
        <v>4.0</v>
      </c>
      <c r="B170" s="28" t="s">
        <v>153</v>
      </c>
      <c r="C170" s="29">
        <v>0.0</v>
      </c>
      <c r="D170" s="29">
        <v>0.0</v>
      </c>
      <c r="E170" s="29">
        <v>0.0</v>
      </c>
      <c r="F170" s="9" t="s">
        <v>7</v>
      </c>
    </row>
    <row r="171" ht="15.75" customHeight="1">
      <c r="A171" s="27"/>
      <c r="B171" s="25" t="s">
        <v>17</v>
      </c>
      <c r="C171" s="26">
        <v>2.0</v>
      </c>
      <c r="D171" s="26">
        <v>0.0</v>
      </c>
      <c r="E171" s="26">
        <v>1.0</v>
      </c>
      <c r="F171" s="26">
        <v>4.0</v>
      </c>
    </row>
    <row r="172" ht="15.75" customHeight="1">
      <c r="A172" s="20"/>
      <c r="B172" s="21"/>
      <c r="C172" s="20"/>
      <c r="D172" s="20"/>
      <c r="E172" s="20"/>
      <c r="F172" s="20"/>
    </row>
    <row r="173" ht="15.75" customHeight="1">
      <c r="A173" s="20"/>
      <c r="B173" s="21"/>
      <c r="C173" s="20"/>
      <c r="D173" s="20"/>
      <c r="E173" s="20"/>
      <c r="F173" s="20"/>
    </row>
    <row r="174" ht="15.75" customHeight="1">
      <c r="A174" s="1" t="s">
        <v>154</v>
      </c>
      <c r="B174" s="2"/>
      <c r="C174" s="2"/>
      <c r="D174" s="2"/>
      <c r="E174" s="2"/>
      <c r="F174" s="3"/>
    </row>
    <row r="175" ht="15.75" customHeight="1">
      <c r="A175" s="24" t="s">
        <v>126</v>
      </c>
      <c r="B175" s="25" t="s">
        <v>127</v>
      </c>
      <c r="C175" s="26" t="s">
        <v>128</v>
      </c>
      <c r="D175" s="26" t="s">
        <v>129</v>
      </c>
      <c r="E175" s="26" t="s">
        <v>5</v>
      </c>
      <c r="F175" s="26" t="s">
        <v>130</v>
      </c>
    </row>
    <row r="176" ht="15.75" customHeight="1">
      <c r="A176" s="27">
        <v>1.0</v>
      </c>
      <c r="B176" s="28" t="s">
        <v>150</v>
      </c>
      <c r="C176" s="29">
        <v>0.0</v>
      </c>
      <c r="D176" s="29">
        <v>0.0</v>
      </c>
      <c r="E176" s="29">
        <v>1.0</v>
      </c>
      <c r="F176" s="9" t="s">
        <v>7</v>
      </c>
    </row>
    <row r="177" ht="15.75" customHeight="1">
      <c r="A177" s="27">
        <v>2.0</v>
      </c>
      <c r="B177" s="28" t="s">
        <v>151</v>
      </c>
      <c r="C177" s="29">
        <v>1.0</v>
      </c>
      <c r="D177" s="29">
        <v>0.0</v>
      </c>
      <c r="E177" s="29">
        <v>0.0</v>
      </c>
      <c r="F177" s="23" t="s">
        <v>7</v>
      </c>
      <c r="G177" s="10" t="s">
        <v>155</v>
      </c>
    </row>
    <row r="178" ht="15.75" customHeight="1">
      <c r="A178" s="27">
        <v>3.0</v>
      </c>
      <c r="B178" s="28" t="s">
        <v>152</v>
      </c>
      <c r="C178" s="29">
        <v>1.0</v>
      </c>
      <c r="D178" s="29">
        <v>0.0</v>
      </c>
      <c r="E178" s="29">
        <v>0.0</v>
      </c>
      <c r="F178" s="23" t="s">
        <v>7</v>
      </c>
      <c r="G178" s="10" t="s">
        <v>155</v>
      </c>
    </row>
    <row r="179" ht="15.75" customHeight="1">
      <c r="A179" s="11">
        <v>4.0</v>
      </c>
      <c r="B179" s="30" t="s">
        <v>153</v>
      </c>
      <c r="C179" s="13">
        <v>0.0</v>
      </c>
      <c r="D179" s="13">
        <v>1.0</v>
      </c>
      <c r="E179" s="13">
        <v>0.0</v>
      </c>
      <c r="F179" s="23" t="s">
        <v>7</v>
      </c>
      <c r="G179" s="10" t="s">
        <v>155</v>
      </c>
    </row>
    <row r="180" ht="15.75" customHeight="1">
      <c r="A180" s="27"/>
      <c r="B180" s="25" t="s">
        <v>17</v>
      </c>
      <c r="C180" s="26">
        <v>2.0</v>
      </c>
      <c r="D180" s="26">
        <v>1.0</v>
      </c>
      <c r="E180" s="26">
        <v>1.0</v>
      </c>
      <c r="F180" s="26">
        <v>4.0</v>
      </c>
    </row>
    <row r="181" ht="15.75" customHeight="1">
      <c r="A181" s="20"/>
      <c r="B181" s="21"/>
      <c r="C181" s="20"/>
      <c r="D181" s="20"/>
      <c r="E181" s="20"/>
      <c r="F181" s="20"/>
    </row>
    <row r="182" ht="15.75" customHeight="1">
      <c r="A182" s="20"/>
      <c r="B182" s="21"/>
      <c r="C182" s="20"/>
      <c r="D182" s="20"/>
      <c r="E182" s="20"/>
      <c r="F182" s="20"/>
    </row>
    <row r="183" ht="15.75" customHeight="1">
      <c r="A183" s="1" t="s">
        <v>156</v>
      </c>
      <c r="B183" s="2"/>
      <c r="C183" s="2"/>
      <c r="D183" s="2"/>
      <c r="E183" s="2"/>
      <c r="F183" s="3"/>
    </row>
    <row r="184" ht="15.75" customHeight="1">
      <c r="A184" s="24" t="s">
        <v>126</v>
      </c>
      <c r="B184" s="25" t="s">
        <v>127</v>
      </c>
      <c r="C184" s="26" t="s">
        <v>128</v>
      </c>
      <c r="D184" s="26" t="s">
        <v>129</v>
      </c>
      <c r="E184" s="26" t="s">
        <v>5</v>
      </c>
      <c r="F184" s="26" t="s">
        <v>130</v>
      </c>
    </row>
    <row r="185" ht="15.75" customHeight="1">
      <c r="A185" s="27">
        <v>1.0</v>
      </c>
      <c r="B185" s="28" t="s">
        <v>131</v>
      </c>
      <c r="C185" s="29">
        <v>0.0</v>
      </c>
      <c r="D185" s="29">
        <v>0.0</v>
      </c>
      <c r="E185" s="29">
        <v>1.0</v>
      </c>
      <c r="F185" s="9" t="s">
        <v>7</v>
      </c>
    </row>
    <row r="186" ht="15.75" customHeight="1">
      <c r="A186" s="27">
        <v>2.0</v>
      </c>
      <c r="B186" s="28" t="s">
        <v>132</v>
      </c>
      <c r="C186" s="29">
        <v>0.0</v>
      </c>
      <c r="D186" s="29">
        <v>0.0</v>
      </c>
      <c r="E186" s="29">
        <v>1.0</v>
      </c>
      <c r="F186" s="9" t="s">
        <v>7</v>
      </c>
    </row>
    <row r="187" ht="15.75" customHeight="1">
      <c r="A187" s="27">
        <v>3.0</v>
      </c>
      <c r="B187" s="28" t="s">
        <v>49</v>
      </c>
      <c r="C187" s="29">
        <v>0.0</v>
      </c>
      <c r="D187" s="29">
        <v>4.0</v>
      </c>
      <c r="E187" s="29">
        <v>5.0</v>
      </c>
      <c r="F187" s="9" t="s">
        <v>7</v>
      </c>
    </row>
    <row r="188" ht="15.75" customHeight="1">
      <c r="A188" s="27">
        <v>4.0</v>
      </c>
      <c r="B188" s="28" t="s">
        <v>134</v>
      </c>
      <c r="C188" s="29">
        <v>0.0</v>
      </c>
      <c r="D188" s="29">
        <v>0.0</v>
      </c>
      <c r="E188" s="29">
        <v>1.0</v>
      </c>
      <c r="F188" s="9" t="s">
        <v>7</v>
      </c>
    </row>
    <row r="189" ht="15.75" customHeight="1">
      <c r="A189" s="27">
        <v>5.0</v>
      </c>
      <c r="B189" s="28" t="s">
        <v>134</v>
      </c>
      <c r="C189" s="29">
        <v>0.0</v>
      </c>
      <c r="D189" s="29">
        <v>0.0</v>
      </c>
      <c r="E189" s="29">
        <v>1.0</v>
      </c>
      <c r="F189" s="9" t="s">
        <v>7</v>
      </c>
    </row>
    <row r="190" ht="15.75" customHeight="1">
      <c r="A190" s="27">
        <v>6.0</v>
      </c>
      <c r="B190" s="28" t="s">
        <v>157</v>
      </c>
      <c r="C190" s="29">
        <v>0.0</v>
      </c>
      <c r="D190" s="29">
        <v>0.0</v>
      </c>
      <c r="E190" s="29">
        <v>1.0</v>
      </c>
      <c r="F190" s="9" t="s">
        <v>7</v>
      </c>
    </row>
    <row r="191" ht="15.75" customHeight="1">
      <c r="A191" s="27">
        <v>7.0</v>
      </c>
      <c r="B191" s="28" t="s">
        <v>135</v>
      </c>
      <c r="C191" s="29">
        <v>0.0</v>
      </c>
      <c r="D191" s="29">
        <v>0.0</v>
      </c>
      <c r="E191" s="29">
        <v>1.0</v>
      </c>
      <c r="F191" s="9" t="s">
        <v>7</v>
      </c>
    </row>
    <row r="192" ht="15.75" customHeight="1">
      <c r="A192" s="27">
        <v>8.0</v>
      </c>
      <c r="B192" s="28" t="s">
        <v>136</v>
      </c>
      <c r="C192" s="29">
        <v>0.0</v>
      </c>
      <c r="D192" s="29">
        <v>0.0</v>
      </c>
      <c r="E192" s="29">
        <v>1.0</v>
      </c>
      <c r="F192" s="9" t="s">
        <v>7</v>
      </c>
    </row>
    <row r="193" ht="15.75" customHeight="1">
      <c r="A193" s="27">
        <v>9.0</v>
      </c>
      <c r="B193" s="28" t="s">
        <v>137</v>
      </c>
      <c r="C193" s="29">
        <v>0.0</v>
      </c>
      <c r="D193" s="29">
        <v>0.0</v>
      </c>
      <c r="E193" s="29">
        <v>1.0</v>
      </c>
      <c r="F193" s="9" t="s">
        <v>7</v>
      </c>
    </row>
    <row r="194" ht="15.75" customHeight="1">
      <c r="A194" s="27">
        <v>10.0</v>
      </c>
      <c r="B194" s="28" t="s">
        <v>138</v>
      </c>
      <c r="C194" s="29">
        <v>0.0</v>
      </c>
      <c r="D194" s="29">
        <v>0.0</v>
      </c>
      <c r="E194" s="29">
        <v>1.0</v>
      </c>
      <c r="F194" s="9" t="s">
        <v>7</v>
      </c>
    </row>
    <row r="195" ht="15.75" customHeight="1">
      <c r="A195" s="27">
        <v>11.0</v>
      </c>
      <c r="B195" s="28" t="s">
        <v>139</v>
      </c>
      <c r="C195" s="29">
        <v>0.0</v>
      </c>
      <c r="D195" s="29">
        <v>0.0</v>
      </c>
      <c r="E195" s="29">
        <v>1.0</v>
      </c>
      <c r="F195" s="9" t="s">
        <v>7</v>
      </c>
    </row>
    <row r="196" ht="15.75" customHeight="1">
      <c r="A196" s="27">
        <v>12.0</v>
      </c>
      <c r="B196" s="28" t="s">
        <v>140</v>
      </c>
      <c r="C196" s="29">
        <v>0.0</v>
      </c>
      <c r="D196" s="29">
        <v>0.0</v>
      </c>
      <c r="E196" s="29">
        <v>1.0</v>
      </c>
      <c r="F196" s="9" t="s">
        <v>7</v>
      </c>
    </row>
    <row r="197" ht="15.75" customHeight="1">
      <c r="A197" s="27">
        <v>13.0</v>
      </c>
      <c r="B197" s="28" t="s">
        <v>141</v>
      </c>
      <c r="C197" s="29">
        <v>0.0</v>
      </c>
      <c r="D197" s="29">
        <v>0.0</v>
      </c>
      <c r="E197" s="29">
        <v>1.0</v>
      </c>
      <c r="F197" s="9" t="s">
        <v>7</v>
      </c>
    </row>
    <row r="198" ht="15.75" customHeight="1">
      <c r="A198" s="27">
        <v>14.0</v>
      </c>
      <c r="B198" s="28" t="s">
        <v>142</v>
      </c>
      <c r="C198" s="29">
        <v>0.0</v>
      </c>
      <c r="D198" s="29">
        <v>2.0</v>
      </c>
      <c r="E198" s="29">
        <v>0.0</v>
      </c>
      <c r="F198" s="9" t="s">
        <v>7</v>
      </c>
    </row>
    <row r="199" ht="15.75" customHeight="1">
      <c r="A199" s="27">
        <v>15.0</v>
      </c>
      <c r="B199" s="28" t="s">
        <v>144</v>
      </c>
      <c r="C199" s="29">
        <v>0.0</v>
      </c>
      <c r="D199" s="29">
        <v>2.0</v>
      </c>
      <c r="E199" s="29">
        <v>0.0</v>
      </c>
      <c r="F199" s="9" t="s">
        <v>7</v>
      </c>
    </row>
    <row r="200" ht="15.75" customHeight="1">
      <c r="A200" s="27">
        <v>16.0</v>
      </c>
      <c r="B200" s="28" t="s">
        <v>145</v>
      </c>
      <c r="C200" s="29">
        <v>0.0</v>
      </c>
      <c r="D200" s="29">
        <v>2.0</v>
      </c>
      <c r="E200" s="29">
        <v>0.0</v>
      </c>
      <c r="F200" s="9" t="s">
        <v>7</v>
      </c>
    </row>
    <row r="201" ht="15.75" customHeight="1">
      <c r="A201" s="27">
        <v>17.0</v>
      </c>
      <c r="B201" s="28" t="s">
        <v>146</v>
      </c>
      <c r="C201" s="29">
        <v>0.0</v>
      </c>
      <c r="D201" s="29">
        <v>2.0</v>
      </c>
      <c r="E201" s="29">
        <v>0.0</v>
      </c>
      <c r="F201" s="9" t="s">
        <v>7</v>
      </c>
    </row>
    <row r="202" ht="15.75" customHeight="1">
      <c r="A202" s="27">
        <v>18.0</v>
      </c>
      <c r="B202" s="28" t="s">
        <v>48</v>
      </c>
      <c r="C202" s="29">
        <v>1.0</v>
      </c>
      <c r="D202" s="29">
        <v>0.0</v>
      </c>
      <c r="E202" s="29">
        <v>0.0</v>
      </c>
      <c r="F202" s="9" t="s">
        <v>7</v>
      </c>
    </row>
    <row r="203" ht="15.75" customHeight="1">
      <c r="A203" s="27">
        <v>19.0</v>
      </c>
      <c r="B203" s="28" t="s">
        <v>148</v>
      </c>
      <c r="C203" s="29">
        <v>2.0</v>
      </c>
      <c r="D203" s="29">
        <v>0.0</v>
      </c>
      <c r="E203" s="29">
        <v>0.0</v>
      </c>
      <c r="F203" s="9" t="s">
        <v>7</v>
      </c>
    </row>
    <row r="204" ht="15.75" customHeight="1">
      <c r="A204" s="27"/>
      <c r="B204" s="25" t="s">
        <v>17</v>
      </c>
      <c r="C204" s="26">
        <v>3.0</v>
      </c>
      <c r="D204" s="26">
        <v>12.0</v>
      </c>
      <c r="E204" s="26">
        <v>17.0</v>
      </c>
      <c r="F204" s="26">
        <v>32.0</v>
      </c>
    </row>
    <row r="205" ht="15.75" customHeight="1">
      <c r="A205" s="31"/>
      <c r="B205" s="32"/>
      <c r="C205" s="31"/>
      <c r="D205" s="31"/>
      <c r="E205" s="31"/>
      <c r="F205" s="31"/>
    </row>
    <row r="206" ht="15.75" customHeight="1">
      <c r="A206" s="31"/>
      <c r="B206" s="32"/>
      <c r="C206" s="31"/>
      <c r="D206" s="31"/>
      <c r="E206" s="31"/>
      <c r="F206" s="31"/>
    </row>
    <row r="207" ht="15.75" customHeight="1">
      <c r="A207" s="1" t="s">
        <v>158</v>
      </c>
      <c r="B207" s="2"/>
      <c r="C207" s="2"/>
      <c r="D207" s="2"/>
      <c r="E207" s="2"/>
      <c r="F207" s="3"/>
    </row>
    <row r="208" ht="15.75" customHeight="1">
      <c r="A208" s="24" t="s">
        <v>126</v>
      </c>
      <c r="B208" s="25" t="s">
        <v>127</v>
      </c>
      <c r="C208" s="26" t="s">
        <v>128</v>
      </c>
      <c r="D208" s="26" t="s">
        <v>129</v>
      </c>
      <c r="E208" s="26" t="s">
        <v>5</v>
      </c>
      <c r="F208" s="26" t="s">
        <v>130</v>
      </c>
    </row>
    <row r="209" ht="15.75" customHeight="1">
      <c r="A209" s="27">
        <v>1.0</v>
      </c>
      <c r="B209" s="28" t="s">
        <v>150</v>
      </c>
      <c r="C209" s="29">
        <v>0.0</v>
      </c>
      <c r="D209" s="29">
        <v>0.0</v>
      </c>
      <c r="E209" s="29">
        <v>1.0</v>
      </c>
      <c r="F209" s="9" t="s">
        <v>7</v>
      </c>
    </row>
    <row r="210" ht="15.75" customHeight="1">
      <c r="A210" s="27">
        <v>2.0</v>
      </c>
      <c r="B210" s="28" t="s">
        <v>151</v>
      </c>
      <c r="C210" s="29">
        <v>1.0</v>
      </c>
      <c r="D210" s="29">
        <v>0.0</v>
      </c>
      <c r="E210" s="29">
        <v>0.0</v>
      </c>
      <c r="F210" s="9" t="s">
        <v>7</v>
      </c>
    </row>
    <row r="211" ht="15.75" customHeight="1">
      <c r="A211" s="27">
        <v>3.0</v>
      </c>
      <c r="B211" s="28" t="s">
        <v>152</v>
      </c>
      <c r="C211" s="29">
        <v>1.0</v>
      </c>
      <c r="D211" s="29">
        <v>0.0</v>
      </c>
      <c r="E211" s="29">
        <v>0.0</v>
      </c>
      <c r="F211" s="9" t="s">
        <v>7</v>
      </c>
      <c r="G211" s="10" t="s">
        <v>159</v>
      </c>
    </row>
    <row r="212" ht="15.75" customHeight="1">
      <c r="A212" s="27">
        <v>4.0</v>
      </c>
      <c r="B212" s="28" t="s">
        <v>153</v>
      </c>
      <c r="C212" s="29">
        <v>0.0</v>
      </c>
      <c r="D212" s="29">
        <v>1.0</v>
      </c>
      <c r="E212" s="29">
        <v>0.0</v>
      </c>
      <c r="F212" s="9" t="s">
        <v>7</v>
      </c>
    </row>
    <row r="213" ht="15.75" customHeight="1">
      <c r="A213" s="27"/>
      <c r="B213" s="25" t="s">
        <v>17</v>
      </c>
      <c r="C213" s="26">
        <v>2.0</v>
      </c>
      <c r="D213" s="26">
        <v>1.0</v>
      </c>
      <c r="E213" s="26">
        <v>1.0</v>
      </c>
      <c r="F213" s="26">
        <v>4.0</v>
      </c>
    </row>
    <row r="214" ht="15.75" customHeight="1">
      <c r="A214" s="20"/>
      <c r="B214" s="21"/>
      <c r="C214" s="20"/>
      <c r="D214" s="20"/>
      <c r="E214" s="20"/>
      <c r="F214" s="20"/>
    </row>
    <row r="215" ht="15.75" customHeight="1">
      <c r="A215" s="20"/>
      <c r="B215" s="21"/>
      <c r="C215" s="20"/>
      <c r="D215" s="20"/>
      <c r="E215" s="20"/>
      <c r="F215" s="20"/>
    </row>
    <row r="216" ht="15.75" customHeight="1">
      <c r="A216" s="1" t="s">
        <v>160</v>
      </c>
      <c r="B216" s="2"/>
      <c r="C216" s="2"/>
      <c r="D216" s="2"/>
      <c r="E216" s="2"/>
      <c r="F216" s="3"/>
    </row>
    <row r="217" ht="15.75" customHeight="1">
      <c r="A217" s="24" t="s">
        <v>126</v>
      </c>
      <c r="B217" s="25" t="s">
        <v>127</v>
      </c>
      <c r="C217" s="26" t="s">
        <v>128</v>
      </c>
      <c r="D217" s="26" t="s">
        <v>129</v>
      </c>
      <c r="E217" s="26" t="s">
        <v>5</v>
      </c>
      <c r="F217" s="26" t="s">
        <v>130</v>
      </c>
    </row>
    <row r="218" ht="15.75" customHeight="1">
      <c r="A218" s="27">
        <v>1.0</v>
      </c>
      <c r="B218" s="28" t="s">
        <v>150</v>
      </c>
      <c r="C218" s="29">
        <v>0.0</v>
      </c>
      <c r="D218" s="29">
        <v>0.0</v>
      </c>
      <c r="E218" s="29">
        <v>1.0</v>
      </c>
      <c r="F218" s="9" t="s">
        <v>7</v>
      </c>
    </row>
    <row r="219" ht="15.75" customHeight="1">
      <c r="A219" s="27">
        <v>2.0</v>
      </c>
      <c r="B219" s="28" t="s">
        <v>151</v>
      </c>
      <c r="C219" s="29">
        <v>1.0</v>
      </c>
      <c r="D219" s="29">
        <v>0.0</v>
      </c>
      <c r="E219" s="29">
        <v>0.0</v>
      </c>
      <c r="F219" s="9" t="s">
        <v>7</v>
      </c>
      <c r="G219" s="10" t="s">
        <v>159</v>
      </c>
    </row>
    <row r="220" ht="15.75" customHeight="1">
      <c r="A220" s="27">
        <v>3.0</v>
      </c>
      <c r="B220" s="28" t="s">
        <v>152</v>
      </c>
      <c r="C220" s="29">
        <v>1.0</v>
      </c>
      <c r="D220" s="29">
        <v>0.0</v>
      </c>
      <c r="E220" s="29">
        <v>0.0</v>
      </c>
      <c r="F220" s="9" t="s">
        <v>7</v>
      </c>
      <c r="G220" s="10" t="s">
        <v>159</v>
      </c>
    </row>
    <row r="221" ht="15.75" customHeight="1">
      <c r="A221" s="11">
        <v>4.0</v>
      </c>
      <c r="B221" s="30" t="s">
        <v>153</v>
      </c>
      <c r="C221" s="13">
        <v>0.0</v>
      </c>
      <c r="D221" s="13">
        <v>1.0</v>
      </c>
      <c r="E221" s="13">
        <v>0.0</v>
      </c>
      <c r="F221" s="9" t="s">
        <v>7</v>
      </c>
    </row>
    <row r="222" ht="15.75" customHeight="1">
      <c r="A222" s="27"/>
      <c r="B222" s="25" t="s">
        <v>17</v>
      </c>
      <c r="C222" s="26">
        <v>2.0</v>
      </c>
      <c r="D222" s="26">
        <v>1.0</v>
      </c>
      <c r="E222" s="26">
        <v>1.0</v>
      </c>
      <c r="F222" s="26">
        <v>4.0</v>
      </c>
    </row>
    <row r="223" ht="15.75" customHeight="1">
      <c r="A223" s="20"/>
      <c r="B223" s="21"/>
      <c r="C223" s="20"/>
      <c r="D223" s="20"/>
      <c r="E223" s="20"/>
      <c r="F223" s="20"/>
    </row>
    <row r="224" ht="15.75" customHeight="1">
      <c r="A224" s="20"/>
      <c r="B224" s="21"/>
      <c r="C224" s="20"/>
      <c r="D224" s="20"/>
      <c r="E224" s="20"/>
      <c r="F224" s="20"/>
    </row>
    <row r="225" ht="15.75" customHeight="1">
      <c r="A225" s="1" t="s">
        <v>161</v>
      </c>
      <c r="B225" s="2"/>
      <c r="C225" s="2"/>
      <c r="D225" s="2"/>
      <c r="E225" s="2"/>
      <c r="F225" s="3"/>
    </row>
    <row r="226" ht="15.75" customHeight="1">
      <c r="A226" s="24" t="s">
        <v>126</v>
      </c>
      <c r="B226" s="25" t="s">
        <v>127</v>
      </c>
      <c r="C226" s="26" t="s">
        <v>128</v>
      </c>
      <c r="D226" s="26" t="s">
        <v>129</v>
      </c>
      <c r="E226" s="26" t="s">
        <v>5</v>
      </c>
      <c r="F226" s="26" t="s">
        <v>130</v>
      </c>
    </row>
    <row r="227" ht="15.75" customHeight="1">
      <c r="A227" s="27">
        <v>1.0</v>
      </c>
      <c r="B227" s="28" t="s">
        <v>131</v>
      </c>
      <c r="C227" s="29">
        <v>0.0</v>
      </c>
      <c r="D227" s="29">
        <v>0.0</v>
      </c>
      <c r="E227" s="29">
        <v>1.0</v>
      </c>
      <c r="F227" s="9" t="s">
        <v>7</v>
      </c>
    </row>
    <row r="228" ht="15.75" customHeight="1">
      <c r="A228" s="27">
        <v>2.0</v>
      </c>
      <c r="B228" s="28" t="s">
        <v>132</v>
      </c>
      <c r="C228" s="29">
        <v>0.0</v>
      </c>
      <c r="D228" s="29">
        <v>0.0</v>
      </c>
      <c r="E228" s="29">
        <v>0.0</v>
      </c>
      <c r="F228" s="9" t="s">
        <v>7</v>
      </c>
    </row>
    <row r="229" ht="15.75" customHeight="1">
      <c r="A229" s="27">
        <v>3.0</v>
      </c>
      <c r="B229" s="28" t="s">
        <v>49</v>
      </c>
      <c r="C229" s="29">
        <v>0.0</v>
      </c>
      <c r="D229" s="29">
        <v>2.0</v>
      </c>
      <c r="E229" s="29">
        <v>4.0</v>
      </c>
      <c r="F229" s="9" t="s">
        <v>7</v>
      </c>
    </row>
    <row r="230" ht="15.75" customHeight="1">
      <c r="A230" s="27">
        <v>4.0</v>
      </c>
      <c r="B230" s="28" t="s">
        <v>134</v>
      </c>
      <c r="C230" s="29">
        <v>0.0</v>
      </c>
      <c r="D230" s="29">
        <v>0.0</v>
      </c>
      <c r="E230" s="29">
        <v>1.0</v>
      </c>
      <c r="F230" s="9" t="s">
        <v>7</v>
      </c>
    </row>
    <row r="231" ht="15.75" customHeight="1">
      <c r="A231" s="27">
        <v>5.0</v>
      </c>
      <c r="B231" s="28" t="s">
        <v>135</v>
      </c>
      <c r="C231" s="29">
        <v>0.0</v>
      </c>
      <c r="D231" s="29">
        <v>0.0</v>
      </c>
      <c r="E231" s="29">
        <v>1.0</v>
      </c>
      <c r="F231" s="9" t="s">
        <v>7</v>
      </c>
    </row>
    <row r="232" ht="15.75" customHeight="1">
      <c r="A232" s="27">
        <v>6.0</v>
      </c>
      <c r="B232" s="28" t="s">
        <v>136</v>
      </c>
      <c r="C232" s="29">
        <v>0.0</v>
      </c>
      <c r="D232" s="29">
        <v>0.0</v>
      </c>
      <c r="E232" s="29">
        <v>1.0</v>
      </c>
      <c r="F232" s="9" t="s">
        <v>7</v>
      </c>
    </row>
    <row r="233" ht="15.75" customHeight="1">
      <c r="A233" s="27">
        <v>7.0</v>
      </c>
      <c r="B233" s="28" t="s">
        <v>137</v>
      </c>
      <c r="C233" s="29">
        <v>0.0</v>
      </c>
      <c r="D233" s="29">
        <v>0.0</v>
      </c>
      <c r="E233" s="29">
        <v>1.0</v>
      </c>
      <c r="F233" s="9" t="s">
        <v>7</v>
      </c>
    </row>
    <row r="234" ht="15.75" customHeight="1">
      <c r="A234" s="27">
        <v>8.0</v>
      </c>
      <c r="B234" s="28" t="s">
        <v>138</v>
      </c>
      <c r="C234" s="29">
        <v>0.0</v>
      </c>
      <c r="D234" s="29">
        <v>0.0</v>
      </c>
      <c r="E234" s="29">
        <v>1.0</v>
      </c>
      <c r="F234" s="9" t="s">
        <v>7</v>
      </c>
    </row>
    <row r="235" ht="15.75" customHeight="1">
      <c r="A235" s="27">
        <v>9.0</v>
      </c>
      <c r="B235" s="28" t="s">
        <v>139</v>
      </c>
      <c r="C235" s="29">
        <v>0.0</v>
      </c>
      <c r="D235" s="29">
        <v>0.0</v>
      </c>
      <c r="E235" s="29">
        <v>1.0</v>
      </c>
      <c r="F235" s="9" t="s">
        <v>7</v>
      </c>
    </row>
    <row r="236" ht="15.75" customHeight="1">
      <c r="A236" s="27">
        <v>10.0</v>
      </c>
      <c r="B236" s="28" t="s">
        <v>140</v>
      </c>
      <c r="C236" s="29">
        <v>0.0</v>
      </c>
      <c r="D236" s="29">
        <v>0.0</v>
      </c>
      <c r="E236" s="29">
        <v>1.0</v>
      </c>
      <c r="F236" s="9" t="s">
        <v>7</v>
      </c>
    </row>
    <row r="237" ht="15.75" customHeight="1">
      <c r="A237" s="27">
        <v>11.0</v>
      </c>
      <c r="B237" s="28" t="s">
        <v>141</v>
      </c>
      <c r="C237" s="29">
        <v>0.0</v>
      </c>
      <c r="D237" s="29">
        <v>0.0</v>
      </c>
      <c r="E237" s="29">
        <v>2.0</v>
      </c>
      <c r="F237" s="9" t="s">
        <v>7</v>
      </c>
    </row>
    <row r="238" ht="15.75" customHeight="1">
      <c r="A238" s="27">
        <v>12.0</v>
      </c>
      <c r="B238" s="28" t="s">
        <v>142</v>
      </c>
      <c r="C238" s="29">
        <v>0.0</v>
      </c>
      <c r="D238" s="29">
        <v>2.0</v>
      </c>
      <c r="E238" s="29">
        <v>0.0</v>
      </c>
      <c r="F238" s="9" t="s">
        <v>7</v>
      </c>
      <c r="G238" s="10" t="s">
        <v>162</v>
      </c>
    </row>
    <row r="239" ht="15.75" customHeight="1">
      <c r="A239" s="27">
        <v>13.0</v>
      </c>
      <c r="B239" s="28" t="s">
        <v>144</v>
      </c>
      <c r="C239" s="29">
        <v>1.0</v>
      </c>
      <c r="D239" s="29">
        <v>2.0</v>
      </c>
      <c r="E239" s="29">
        <v>0.0</v>
      </c>
      <c r="F239" s="9" t="s">
        <v>7</v>
      </c>
    </row>
    <row r="240" ht="15.75" customHeight="1">
      <c r="A240" s="27">
        <v>14.0</v>
      </c>
      <c r="B240" s="28" t="s">
        <v>48</v>
      </c>
      <c r="C240" s="29">
        <v>1.0</v>
      </c>
      <c r="D240" s="29">
        <v>0.0</v>
      </c>
      <c r="E240" s="29">
        <v>0.0</v>
      </c>
      <c r="F240" s="9" t="s">
        <v>7</v>
      </c>
    </row>
    <row r="241" ht="15.75" customHeight="1">
      <c r="A241" s="27">
        <v>15.0</v>
      </c>
      <c r="B241" s="28" t="s">
        <v>148</v>
      </c>
      <c r="C241" s="29">
        <v>2.0</v>
      </c>
      <c r="D241" s="29">
        <v>0.0</v>
      </c>
      <c r="E241" s="29">
        <v>0.0</v>
      </c>
      <c r="F241" s="9" t="s">
        <v>7</v>
      </c>
    </row>
    <row r="242" ht="15.75" customHeight="1">
      <c r="A242" s="27"/>
      <c r="B242" s="25" t="s">
        <v>17</v>
      </c>
      <c r="C242" s="26">
        <v>4.0</v>
      </c>
      <c r="D242" s="26">
        <v>6.0</v>
      </c>
      <c r="E242" s="26">
        <v>14.0</v>
      </c>
      <c r="F242" s="26">
        <v>24.0</v>
      </c>
    </row>
    <row r="243" ht="15.75" customHeight="1">
      <c r="A243" s="31"/>
      <c r="B243" s="32"/>
      <c r="C243" s="31"/>
      <c r="D243" s="31"/>
      <c r="E243" s="31"/>
      <c r="F243" s="31"/>
    </row>
    <row r="244" ht="15.75" customHeight="1">
      <c r="A244" s="31"/>
      <c r="B244" s="32"/>
      <c r="C244" s="31"/>
      <c r="D244" s="31"/>
      <c r="E244" s="31"/>
      <c r="F244" s="31"/>
    </row>
    <row r="245" ht="15.75" customHeight="1">
      <c r="A245" s="1" t="s">
        <v>163</v>
      </c>
      <c r="B245" s="2"/>
      <c r="C245" s="2"/>
      <c r="D245" s="2"/>
      <c r="E245" s="2"/>
      <c r="F245" s="3"/>
    </row>
    <row r="246" ht="15.75" customHeight="1">
      <c r="A246" s="24" t="s">
        <v>126</v>
      </c>
      <c r="B246" s="25" t="s">
        <v>127</v>
      </c>
      <c r="C246" s="26" t="s">
        <v>128</v>
      </c>
      <c r="D246" s="26" t="s">
        <v>129</v>
      </c>
      <c r="E246" s="26" t="s">
        <v>5</v>
      </c>
      <c r="F246" s="26" t="s">
        <v>130</v>
      </c>
    </row>
    <row r="247" ht="15.75" customHeight="1">
      <c r="A247" s="27">
        <v>1.0</v>
      </c>
      <c r="B247" s="28" t="s">
        <v>150</v>
      </c>
      <c r="C247" s="29">
        <v>0.0</v>
      </c>
      <c r="D247" s="29">
        <v>1.0</v>
      </c>
      <c r="E247" s="29">
        <v>0.0</v>
      </c>
      <c r="F247" s="9" t="s">
        <v>7</v>
      </c>
    </row>
    <row r="248" ht="15.75" customHeight="1">
      <c r="A248" s="27">
        <v>2.0</v>
      </c>
      <c r="B248" s="28" t="s">
        <v>164</v>
      </c>
      <c r="C248" s="29">
        <v>0.0</v>
      </c>
      <c r="D248" s="29">
        <v>1.0</v>
      </c>
      <c r="E248" s="29">
        <v>0.0</v>
      </c>
      <c r="F248" s="9" t="s">
        <v>7</v>
      </c>
    </row>
    <row r="249" ht="15.75" customHeight="1">
      <c r="A249" s="27">
        <v>3.0</v>
      </c>
      <c r="B249" s="28" t="s">
        <v>165</v>
      </c>
      <c r="C249" s="29">
        <v>1.0</v>
      </c>
      <c r="D249" s="29">
        <v>0.0</v>
      </c>
      <c r="E249" s="29">
        <v>0.0</v>
      </c>
      <c r="F249" s="9" t="s">
        <v>7</v>
      </c>
    </row>
    <row r="250" ht="15.75" customHeight="1">
      <c r="A250" s="27">
        <v>4.0</v>
      </c>
      <c r="B250" s="28" t="s">
        <v>166</v>
      </c>
      <c r="C250" s="29">
        <v>1.0</v>
      </c>
      <c r="D250" s="29">
        <v>0.0</v>
      </c>
      <c r="E250" s="29">
        <v>0.0</v>
      </c>
      <c r="F250" s="9" t="s">
        <v>7</v>
      </c>
    </row>
    <row r="251" ht="15.75" customHeight="1">
      <c r="A251" s="27"/>
      <c r="B251" s="25" t="s">
        <v>17</v>
      </c>
      <c r="C251" s="26">
        <v>2.0</v>
      </c>
      <c r="D251" s="26">
        <v>2.0</v>
      </c>
      <c r="E251" s="26">
        <v>0.0</v>
      </c>
      <c r="F251" s="26">
        <v>4.0</v>
      </c>
    </row>
    <row r="252" ht="15.75" customHeight="1">
      <c r="A252" s="20"/>
      <c r="B252" s="21"/>
      <c r="C252" s="20"/>
      <c r="D252" s="20"/>
      <c r="E252" s="20"/>
      <c r="F252" s="20"/>
    </row>
    <row r="253" ht="15.75" customHeight="1">
      <c r="A253" s="20"/>
      <c r="B253" s="21"/>
      <c r="C253" s="20"/>
      <c r="D253" s="20"/>
      <c r="E253" s="20"/>
      <c r="F253" s="20"/>
    </row>
    <row r="254" ht="15.75" customHeight="1">
      <c r="A254" s="1" t="s">
        <v>167</v>
      </c>
      <c r="B254" s="2"/>
      <c r="C254" s="2"/>
      <c r="D254" s="2"/>
      <c r="E254" s="2"/>
      <c r="F254" s="3"/>
    </row>
    <row r="255" ht="15.75" customHeight="1">
      <c r="A255" s="24" t="s">
        <v>126</v>
      </c>
      <c r="B255" s="25" t="s">
        <v>127</v>
      </c>
      <c r="C255" s="26" t="s">
        <v>128</v>
      </c>
      <c r="D255" s="26" t="s">
        <v>129</v>
      </c>
      <c r="E255" s="26" t="s">
        <v>5</v>
      </c>
      <c r="F255" s="26" t="s">
        <v>130</v>
      </c>
    </row>
    <row r="256" ht="15.75" customHeight="1">
      <c r="A256" s="27">
        <v>1.0</v>
      </c>
      <c r="B256" s="28" t="s">
        <v>150</v>
      </c>
      <c r="C256" s="29">
        <v>0.0</v>
      </c>
      <c r="D256" s="29">
        <v>1.0</v>
      </c>
      <c r="E256" s="29">
        <v>0.0</v>
      </c>
      <c r="F256" s="9" t="s">
        <v>7</v>
      </c>
    </row>
    <row r="257" ht="15.75" customHeight="1">
      <c r="A257" s="27">
        <v>2.0</v>
      </c>
      <c r="B257" s="28" t="s">
        <v>164</v>
      </c>
      <c r="C257" s="29">
        <v>0.0</v>
      </c>
      <c r="D257" s="29">
        <v>1.0</v>
      </c>
      <c r="E257" s="29">
        <v>0.0</v>
      </c>
      <c r="F257" s="9" t="s">
        <v>7</v>
      </c>
    </row>
    <row r="258" ht="15.75" customHeight="1">
      <c r="A258" s="27">
        <v>3.0</v>
      </c>
      <c r="B258" s="28" t="s">
        <v>165</v>
      </c>
      <c r="C258" s="29">
        <v>1.0</v>
      </c>
      <c r="D258" s="29">
        <v>0.0</v>
      </c>
      <c r="E258" s="29">
        <v>0.0</v>
      </c>
      <c r="F258" s="9" t="s">
        <v>7</v>
      </c>
    </row>
    <row r="259" ht="15.75" customHeight="1">
      <c r="A259" s="11">
        <v>4.0</v>
      </c>
      <c r="B259" s="30" t="s">
        <v>166</v>
      </c>
      <c r="C259" s="13">
        <v>1.0</v>
      </c>
      <c r="D259" s="13">
        <v>0.0</v>
      </c>
      <c r="E259" s="13">
        <v>0.0</v>
      </c>
      <c r="F259" s="9" t="s">
        <v>7</v>
      </c>
    </row>
    <row r="260" ht="15.75" customHeight="1">
      <c r="A260" s="27"/>
      <c r="B260" s="25" t="s">
        <v>17</v>
      </c>
      <c r="C260" s="26">
        <v>2.0</v>
      </c>
      <c r="D260" s="26">
        <v>2.0</v>
      </c>
      <c r="E260" s="26">
        <v>0.0</v>
      </c>
      <c r="F260" s="26">
        <v>4.0</v>
      </c>
    </row>
    <row r="261" ht="15.75" customHeight="1">
      <c r="A261" s="20"/>
      <c r="B261" s="21"/>
      <c r="C261" s="20"/>
      <c r="D261" s="20"/>
      <c r="E261" s="20"/>
      <c r="F261" s="20"/>
    </row>
    <row r="262" ht="15.75" customHeight="1">
      <c r="A262" s="20"/>
      <c r="B262" s="21"/>
      <c r="C262" s="20"/>
      <c r="D262" s="20"/>
      <c r="E262" s="20"/>
      <c r="F262" s="20"/>
    </row>
    <row r="263" ht="15.75" customHeight="1">
      <c r="A263" s="1" t="s">
        <v>168</v>
      </c>
      <c r="B263" s="2"/>
      <c r="C263" s="2"/>
      <c r="D263" s="2"/>
      <c r="E263" s="2"/>
      <c r="F263" s="3"/>
    </row>
    <row r="264" ht="15.75" customHeight="1">
      <c r="A264" s="24" t="s">
        <v>126</v>
      </c>
      <c r="B264" s="25" t="s">
        <v>127</v>
      </c>
      <c r="C264" s="26" t="s">
        <v>128</v>
      </c>
      <c r="D264" s="26" t="s">
        <v>129</v>
      </c>
      <c r="E264" s="26" t="s">
        <v>5</v>
      </c>
      <c r="F264" s="26" t="s">
        <v>130</v>
      </c>
    </row>
    <row r="265" ht="15.75" customHeight="1">
      <c r="A265" s="27">
        <v>1.0</v>
      </c>
      <c r="B265" s="28" t="s">
        <v>131</v>
      </c>
      <c r="C265" s="29">
        <v>0.0</v>
      </c>
      <c r="D265" s="29">
        <v>0.0</v>
      </c>
      <c r="E265" s="29">
        <v>1.0</v>
      </c>
      <c r="F265" s="9" t="s">
        <v>7</v>
      </c>
    </row>
    <row r="266" ht="15.75" customHeight="1">
      <c r="A266" s="27">
        <v>2.0</v>
      </c>
      <c r="B266" s="28" t="s">
        <v>132</v>
      </c>
      <c r="C266" s="29">
        <v>0.0</v>
      </c>
      <c r="D266" s="29">
        <v>0.0</v>
      </c>
      <c r="E266" s="29">
        <v>0.0</v>
      </c>
      <c r="F266" s="9" t="s">
        <v>7</v>
      </c>
    </row>
    <row r="267" ht="15.75" customHeight="1">
      <c r="A267" s="27">
        <v>3.0</v>
      </c>
      <c r="B267" s="28" t="s">
        <v>49</v>
      </c>
      <c r="C267" s="29">
        <v>0.0</v>
      </c>
      <c r="D267" s="29">
        <v>2.0</v>
      </c>
      <c r="E267" s="29">
        <v>5.0</v>
      </c>
      <c r="F267" s="9" t="s">
        <v>7</v>
      </c>
    </row>
    <row r="268" ht="15.75" customHeight="1">
      <c r="A268" s="27">
        <v>4.0</v>
      </c>
      <c r="B268" s="28" t="s">
        <v>134</v>
      </c>
      <c r="C268" s="29">
        <v>1.0</v>
      </c>
      <c r="D268" s="29">
        <v>0.0</v>
      </c>
      <c r="E268" s="29">
        <v>2.0</v>
      </c>
      <c r="F268" s="9" t="s">
        <v>7</v>
      </c>
    </row>
    <row r="269" ht="15.75" customHeight="1">
      <c r="A269" s="27">
        <v>5.0</v>
      </c>
      <c r="B269" s="28" t="s">
        <v>135</v>
      </c>
      <c r="C269" s="29">
        <v>0.0</v>
      </c>
      <c r="D269" s="29">
        <v>0.0</v>
      </c>
      <c r="E269" s="29">
        <v>1.0</v>
      </c>
      <c r="F269" s="9" t="s">
        <v>7</v>
      </c>
    </row>
    <row r="270" ht="15.75" customHeight="1">
      <c r="A270" s="27">
        <v>6.0</v>
      </c>
      <c r="B270" s="28" t="s">
        <v>136</v>
      </c>
      <c r="C270" s="29">
        <v>0.0</v>
      </c>
      <c r="D270" s="29">
        <v>0.0</v>
      </c>
      <c r="E270" s="29">
        <v>1.0</v>
      </c>
      <c r="F270" s="9" t="s">
        <v>7</v>
      </c>
    </row>
    <row r="271" ht="15.75" customHeight="1">
      <c r="A271" s="27">
        <v>7.0</v>
      </c>
      <c r="B271" s="28" t="s">
        <v>137</v>
      </c>
      <c r="C271" s="29">
        <v>0.0</v>
      </c>
      <c r="D271" s="29">
        <v>0.0</v>
      </c>
      <c r="E271" s="29">
        <v>1.0</v>
      </c>
      <c r="F271" s="9" t="s">
        <v>7</v>
      </c>
    </row>
    <row r="272" ht="15.75" customHeight="1">
      <c r="A272" s="27">
        <v>8.0</v>
      </c>
      <c r="B272" s="28" t="s">
        <v>138</v>
      </c>
      <c r="C272" s="29">
        <v>0.0</v>
      </c>
      <c r="D272" s="29">
        <v>0.0</v>
      </c>
      <c r="E272" s="29">
        <v>1.0</v>
      </c>
      <c r="F272" s="9" t="s">
        <v>7</v>
      </c>
    </row>
    <row r="273" ht="15.75" customHeight="1">
      <c r="A273" s="27">
        <v>9.0</v>
      </c>
      <c r="B273" s="28" t="s">
        <v>139</v>
      </c>
      <c r="C273" s="29">
        <v>0.0</v>
      </c>
      <c r="D273" s="29">
        <v>0.0</v>
      </c>
      <c r="E273" s="29">
        <v>1.0</v>
      </c>
      <c r="F273" s="9" t="s">
        <v>7</v>
      </c>
    </row>
    <row r="274" ht="15.75" customHeight="1">
      <c r="A274" s="27">
        <v>10.0</v>
      </c>
      <c r="B274" s="28" t="s">
        <v>140</v>
      </c>
      <c r="C274" s="29">
        <v>0.0</v>
      </c>
      <c r="D274" s="29">
        <v>0.0</v>
      </c>
      <c r="E274" s="29">
        <v>1.0</v>
      </c>
      <c r="F274" s="9" t="s">
        <v>7</v>
      </c>
    </row>
    <row r="275" ht="15.75" customHeight="1">
      <c r="A275" s="27">
        <v>11.0</v>
      </c>
      <c r="B275" s="28" t="s">
        <v>141</v>
      </c>
      <c r="C275" s="29">
        <v>0.0</v>
      </c>
      <c r="D275" s="29">
        <v>0.0</v>
      </c>
      <c r="E275" s="29">
        <v>1.0</v>
      </c>
      <c r="F275" s="9" t="s">
        <v>7</v>
      </c>
    </row>
    <row r="276" ht="15.75" customHeight="1">
      <c r="A276" s="27">
        <v>12.0</v>
      </c>
      <c r="B276" s="28" t="s">
        <v>169</v>
      </c>
      <c r="C276" s="29">
        <v>0.0</v>
      </c>
      <c r="D276" s="29">
        <v>0.0</v>
      </c>
      <c r="E276" s="29">
        <v>1.0</v>
      </c>
      <c r="F276" s="9" t="s">
        <v>7</v>
      </c>
    </row>
    <row r="277" ht="15.75" customHeight="1">
      <c r="A277" s="27">
        <v>13.0</v>
      </c>
      <c r="B277" s="28" t="s">
        <v>170</v>
      </c>
      <c r="C277" s="29">
        <v>0.0</v>
      </c>
      <c r="D277" s="29">
        <v>0.0</v>
      </c>
      <c r="E277" s="29">
        <v>1.0</v>
      </c>
      <c r="F277" s="9" t="s">
        <v>7</v>
      </c>
    </row>
    <row r="278" ht="15.75" customHeight="1">
      <c r="A278" s="27">
        <v>14.0</v>
      </c>
      <c r="B278" s="28" t="s">
        <v>142</v>
      </c>
      <c r="C278" s="29">
        <v>0.0</v>
      </c>
      <c r="D278" s="29">
        <v>2.0</v>
      </c>
      <c r="E278" s="29">
        <v>0.0</v>
      </c>
      <c r="F278" s="9" t="s">
        <v>7</v>
      </c>
    </row>
    <row r="279" ht="15.75" customHeight="1">
      <c r="A279" s="27">
        <v>15.0</v>
      </c>
      <c r="B279" s="28" t="s">
        <v>144</v>
      </c>
      <c r="C279" s="29">
        <v>0.0</v>
      </c>
      <c r="D279" s="29">
        <v>2.0</v>
      </c>
      <c r="E279" s="29">
        <v>0.0</v>
      </c>
      <c r="F279" s="9" t="s">
        <v>7</v>
      </c>
    </row>
    <row r="280" ht="15.75" customHeight="1">
      <c r="A280" s="27">
        <v>16.0</v>
      </c>
      <c r="B280" s="28" t="s">
        <v>171</v>
      </c>
      <c r="C280" s="29">
        <v>2.0</v>
      </c>
      <c r="D280" s="29">
        <v>0.0</v>
      </c>
      <c r="E280" s="29">
        <v>0.0</v>
      </c>
      <c r="F280" s="9" t="s">
        <v>7</v>
      </c>
    </row>
    <row r="281" ht="15.75" customHeight="1">
      <c r="A281" s="27">
        <v>17.0</v>
      </c>
      <c r="B281" s="28" t="s">
        <v>48</v>
      </c>
      <c r="C281" s="29">
        <v>0.0</v>
      </c>
      <c r="D281" s="29">
        <v>0.0</v>
      </c>
      <c r="E281" s="29">
        <v>0.0</v>
      </c>
      <c r="F281" s="9" t="s">
        <v>7</v>
      </c>
    </row>
    <row r="282" ht="15.75" customHeight="1">
      <c r="A282" s="27">
        <v>18.0</v>
      </c>
      <c r="B282" s="28" t="s">
        <v>148</v>
      </c>
      <c r="C282" s="29">
        <v>2.0</v>
      </c>
      <c r="D282" s="29">
        <v>0.0</v>
      </c>
      <c r="E282" s="29">
        <v>0.0</v>
      </c>
      <c r="F282" s="9" t="s">
        <v>7</v>
      </c>
    </row>
    <row r="283" ht="15.75" customHeight="1">
      <c r="A283" s="27"/>
      <c r="B283" s="25" t="s">
        <v>17</v>
      </c>
      <c r="C283" s="26">
        <v>5.0</v>
      </c>
      <c r="D283" s="26">
        <v>6.0</v>
      </c>
      <c r="E283" s="26">
        <v>17.0</v>
      </c>
      <c r="F283" s="26">
        <v>28.0</v>
      </c>
    </row>
    <row r="284" ht="15.75" customHeight="1">
      <c r="A284" s="31"/>
      <c r="B284" s="32"/>
      <c r="C284" s="31"/>
      <c r="D284" s="31"/>
      <c r="E284" s="31"/>
      <c r="F284" s="31"/>
    </row>
    <row r="285" ht="15.75" customHeight="1">
      <c r="A285" s="31"/>
      <c r="B285" s="32"/>
      <c r="C285" s="31"/>
      <c r="D285" s="31"/>
      <c r="E285" s="31"/>
      <c r="F285" s="31"/>
    </row>
    <row r="286" ht="15.75" customHeight="1">
      <c r="A286" s="1" t="s">
        <v>172</v>
      </c>
      <c r="B286" s="2"/>
      <c r="C286" s="2"/>
      <c r="D286" s="2"/>
      <c r="E286" s="2"/>
      <c r="F286" s="3"/>
    </row>
    <row r="287" ht="15.75" customHeight="1">
      <c r="A287" s="24" t="s">
        <v>126</v>
      </c>
      <c r="B287" s="25" t="s">
        <v>127</v>
      </c>
      <c r="C287" s="26" t="s">
        <v>128</v>
      </c>
      <c r="D287" s="26" t="s">
        <v>129</v>
      </c>
      <c r="E287" s="26" t="s">
        <v>5</v>
      </c>
      <c r="F287" s="26" t="s">
        <v>130</v>
      </c>
    </row>
    <row r="288" ht="15.75" customHeight="1">
      <c r="A288" s="27">
        <v>1.0</v>
      </c>
      <c r="B288" s="28" t="s">
        <v>150</v>
      </c>
      <c r="C288" s="29">
        <v>0.0</v>
      </c>
      <c r="D288" s="29">
        <v>1.0</v>
      </c>
      <c r="E288" s="29">
        <v>0.0</v>
      </c>
      <c r="F288" s="9" t="s">
        <v>7</v>
      </c>
    </row>
    <row r="289" ht="15.75" customHeight="1">
      <c r="A289" s="27">
        <v>2.0</v>
      </c>
      <c r="B289" s="28" t="s">
        <v>164</v>
      </c>
      <c r="C289" s="29">
        <v>0.0</v>
      </c>
      <c r="D289" s="29">
        <v>1.0</v>
      </c>
      <c r="E289" s="29">
        <v>0.0</v>
      </c>
      <c r="F289" s="9" t="s">
        <v>7</v>
      </c>
    </row>
    <row r="290" ht="15.75" customHeight="1">
      <c r="A290" s="27">
        <v>3.0</v>
      </c>
      <c r="B290" s="28" t="s">
        <v>165</v>
      </c>
      <c r="C290" s="29">
        <v>1.0</v>
      </c>
      <c r="D290" s="29">
        <v>0.0</v>
      </c>
      <c r="E290" s="29">
        <v>0.0</v>
      </c>
      <c r="F290" s="9" t="s">
        <v>7</v>
      </c>
    </row>
    <row r="291" ht="15.75" customHeight="1">
      <c r="A291" s="27">
        <v>4.0</v>
      </c>
      <c r="B291" s="28" t="s">
        <v>166</v>
      </c>
      <c r="C291" s="29">
        <v>1.0</v>
      </c>
      <c r="D291" s="29">
        <v>0.0</v>
      </c>
      <c r="E291" s="29">
        <v>0.0</v>
      </c>
      <c r="F291" s="9" t="s">
        <v>7</v>
      </c>
    </row>
    <row r="292" ht="15.75" customHeight="1">
      <c r="A292" s="27"/>
      <c r="B292" s="25" t="s">
        <v>17</v>
      </c>
      <c r="C292" s="26">
        <v>2.0</v>
      </c>
      <c r="D292" s="26">
        <v>2.0</v>
      </c>
      <c r="E292" s="26">
        <v>0.0</v>
      </c>
      <c r="F292" s="26">
        <v>4.0</v>
      </c>
    </row>
    <row r="293" ht="15.75" customHeight="1">
      <c r="A293" s="20"/>
      <c r="B293" s="21"/>
      <c r="C293" s="20"/>
      <c r="D293" s="20"/>
      <c r="E293" s="20"/>
      <c r="F293" s="20"/>
    </row>
    <row r="294" ht="15.75" customHeight="1">
      <c r="A294" s="20"/>
      <c r="B294" s="21"/>
      <c r="C294" s="20"/>
      <c r="D294" s="20"/>
      <c r="E294" s="20"/>
      <c r="F294" s="20"/>
    </row>
    <row r="295" ht="15.75" customHeight="1">
      <c r="A295" s="1" t="s">
        <v>173</v>
      </c>
      <c r="B295" s="2"/>
      <c r="C295" s="2"/>
      <c r="D295" s="2"/>
      <c r="E295" s="2"/>
      <c r="F295" s="3"/>
    </row>
    <row r="296" ht="15.75" customHeight="1">
      <c r="A296" s="24" t="s">
        <v>126</v>
      </c>
      <c r="B296" s="25" t="s">
        <v>127</v>
      </c>
      <c r="C296" s="26" t="s">
        <v>128</v>
      </c>
      <c r="D296" s="26" t="s">
        <v>129</v>
      </c>
      <c r="E296" s="26" t="s">
        <v>5</v>
      </c>
      <c r="F296" s="26" t="s">
        <v>130</v>
      </c>
    </row>
    <row r="297" ht="15.75" customHeight="1">
      <c r="A297" s="27">
        <v>1.0</v>
      </c>
      <c r="B297" s="28" t="s">
        <v>150</v>
      </c>
      <c r="C297" s="29">
        <v>0.0</v>
      </c>
      <c r="D297" s="29">
        <v>1.0</v>
      </c>
      <c r="E297" s="29">
        <v>0.0</v>
      </c>
      <c r="F297" s="9" t="s">
        <v>7</v>
      </c>
    </row>
    <row r="298" ht="15.75" customHeight="1">
      <c r="A298" s="27">
        <v>2.0</v>
      </c>
      <c r="B298" s="28" t="s">
        <v>164</v>
      </c>
      <c r="C298" s="29">
        <v>0.0</v>
      </c>
      <c r="D298" s="29">
        <v>1.0</v>
      </c>
      <c r="E298" s="29">
        <v>0.0</v>
      </c>
      <c r="F298" s="9" t="s">
        <v>7</v>
      </c>
    </row>
    <row r="299" ht="15.75" customHeight="1">
      <c r="A299" s="27">
        <v>3.0</v>
      </c>
      <c r="B299" s="28" t="s">
        <v>165</v>
      </c>
      <c r="C299" s="29">
        <v>1.0</v>
      </c>
      <c r="D299" s="29">
        <v>0.0</v>
      </c>
      <c r="E299" s="29">
        <v>0.0</v>
      </c>
      <c r="F299" s="9" t="s">
        <v>7</v>
      </c>
    </row>
    <row r="300" ht="15.75" customHeight="1">
      <c r="A300" s="27">
        <v>4.0</v>
      </c>
      <c r="B300" s="28" t="s">
        <v>166</v>
      </c>
      <c r="C300" s="29">
        <v>1.0</v>
      </c>
      <c r="D300" s="29">
        <v>0.0</v>
      </c>
      <c r="E300" s="29">
        <v>0.0</v>
      </c>
      <c r="F300" s="9" t="s">
        <v>7</v>
      </c>
    </row>
    <row r="301" ht="15.75" customHeight="1">
      <c r="A301" s="27"/>
      <c r="B301" s="25" t="s">
        <v>17</v>
      </c>
      <c r="C301" s="26">
        <v>2.0</v>
      </c>
      <c r="D301" s="26">
        <v>2.0</v>
      </c>
      <c r="E301" s="26">
        <v>0.0</v>
      </c>
      <c r="F301" s="26">
        <v>4.0</v>
      </c>
    </row>
    <row r="302" ht="15.75" customHeight="1">
      <c r="B302" s="33"/>
    </row>
    <row r="303" ht="15.75" customHeight="1">
      <c r="B303" s="33"/>
    </row>
    <row r="304" ht="15.75" customHeight="1">
      <c r="B304" s="33"/>
    </row>
    <row r="305" ht="15.75" customHeight="1">
      <c r="B305" s="33"/>
    </row>
    <row r="306" ht="15.75" customHeight="1">
      <c r="B306" s="33"/>
    </row>
    <row r="307" ht="15.75" customHeight="1">
      <c r="B307" s="33"/>
    </row>
    <row r="308" ht="15.75" customHeight="1">
      <c r="B308" s="33"/>
    </row>
    <row r="309" ht="15.75" customHeight="1">
      <c r="B309" s="33"/>
    </row>
    <row r="310" ht="15.75" customHeight="1">
      <c r="B310" s="33"/>
    </row>
    <row r="311" ht="15.75" customHeight="1">
      <c r="B311" s="33"/>
    </row>
    <row r="312" ht="15.75" customHeight="1">
      <c r="B312" s="33"/>
    </row>
    <row r="313" ht="15.75" customHeight="1">
      <c r="B313" s="33"/>
    </row>
    <row r="314" ht="15.75" customHeight="1">
      <c r="B314" s="33"/>
    </row>
    <row r="315" ht="15.75" customHeight="1">
      <c r="B315" s="33"/>
    </row>
    <row r="316" ht="15.75" customHeight="1">
      <c r="B316" s="33"/>
    </row>
    <row r="317" ht="15.75" customHeight="1">
      <c r="B317" s="33"/>
    </row>
    <row r="318" ht="15.75" customHeight="1">
      <c r="B318" s="33"/>
    </row>
    <row r="319" ht="15.75" customHeight="1">
      <c r="B319" s="33"/>
    </row>
    <row r="320" ht="15.75" customHeight="1">
      <c r="B320" s="33"/>
    </row>
    <row r="321" ht="15.75" customHeight="1">
      <c r="B321" s="33"/>
    </row>
    <row r="322" ht="15.75" customHeight="1">
      <c r="B322" s="33"/>
    </row>
    <row r="323" ht="15.75" customHeight="1">
      <c r="B323" s="33"/>
    </row>
    <row r="324" ht="15.75" customHeight="1">
      <c r="B324" s="33"/>
    </row>
    <row r="325" ht="15.75" customHeight="1">
      <c r="B325" s="33"/>
    </row>
    <row r="326" ht="15.75" customHeight="1">
      <c r="B326" s="33"/>
    </row>
    <row r="327" ht="15.75" customHeight="1">
      <c r="B327" s="33"/>
    </row>
    <row r="328" ht="15.75" customHeight="1">
      <c r="B328" s="33"/>
    </row>
    <row r="329" ht="15.75" customHeight="1">
      <c r="B329" s="33"/>
    </row>
    <row r="330" ht="15.75" customHeight="1">
      <c r="B330" s="33"/>
    </row>
    <row r="331" ht="15.75" customHeight="1">
      <c r="B331" s="33"/>
    </row>
    <row r="332" ht="15.75" customHeight="1">
      <c r="B332" s="33"/>
    </row>
    <row r="333" ht="15.75" customHeight="1">
      <c r="B333" s="33"/>
    </row>
    <row r="334" ht="15.75" customHeight="1">
      <c r="B334" s="33"/>
    </row>
    <row r="335" ht="15.75" customHeight="1">
      <c r="B335" s="33"/>
    </row>
    <row r="336" ht="15.75" customHeight="1">
      <c r="B336" s="33"/>
    </row>
    <row r="337" ht="15.75" customHeight="1">
      <c r="B337" s="33"/>
    </row>
    <row r="338" ht="15.75" customHeight="1">
      <c r="B338" s="33"/>
    </row>
    <row r="339" ht="15.75" customHeight="1">
      <c r="B339" s="33"/>
    </row>
    <row r="340" ht="15.75" customHeight="1">
      <c r="B340" s="33"/>
    </row>
    <row r="341" ht="15.75" customHeight="1">
      <c r="B341" s="33"/>
    </row>
    <row r="342" ht="15.75" customHeight="1">
      <c r="B342" s="33"/>
    </row>
    <row r="343" ht="15.75" customHeight="1">
      <c r="B343" s="33"/>
    </row>
    <row r="344" ht="15.75" customHeight="1">
      <c r="B344" s="33"/>
    </row>
    <row r="345" ht="15.75" customHeight="1">
      <c r="B345" s="33"/>
    </row>
    <row r="346" ht="15.75" customHeight="1">
      <c r="B346" s="33"/>
    </row>
    <row r="347" ht="15.75" customHeight="1">
      <c r="B347" s="33"/>
    </row>
    <row r="348" ht="15.75" customHeight="1">
      <c r="B348" s="33"/>
    </row>
    <row r="349" ht="15.75" customHeight="1">
      <c r="B349" s="33"/>
    </row>
    <row r="350" ht="15.75" customHeight="1">
      <c r="B350" s="33"/>
    </row>
    <row r="351" ht="15.75" customHeight="1">
      <c r="B351" s="33"/>
    </row>
    <row r="352" ht="15.75" customHeight="1">
      <c r="B352" s="33"/>
    </row>
    <row r="353" ht="15.75" customHeight="1">
      <c r="B353" s="33"/>
    </row>
    <row r="354" ht="15.75" customHeight="1">
      <c r="B354" s="33"/>
    </row>
    <row r="355" ht="15.75" customHeight="1">
      <c r="B355" s="33"/>
    </row>
    <row r="356" ht="15.75" customHeight="1">
      <c r="B356" s="33"/>
    </row>
    <row r="357" ht="15.75" customHeight="1">
      <c r="B357" s="33"/>
    </row>
    <row r="358" ht="15.75" customHeight="1">
      <c r="B358" s="33"/>
    </row>
    <row r="359" ht="15.75" customHeight="1">
      <c r="B359" s="33"/>
    </row>
    <row r="360" ht="15.75" customHeight="1">
      <c r="B360" s="33"/>
    </row>
    <row r="361" ht="15.75" customHeight="1">
      <c r="B361" s="33"/>
    </row>
    <row r="362" ht="15.75" customHeight="1">
      <c r="B362" s="33"/>
    </row>
    <row r="363" ht="15.75" customHeight="1">
      <c r="B363" s="33"/>
    </row>
    <row r="364" ht="15.75" customHeight="1">
      <c r="B364" s="33"/>
    </row>
    <row r="365" ht="15.75" customHeight="1">
      <c r="B365" s="33"/>
    </row>
    <row r="366" ht="15.75" customHeight="1">
      <c r="B366" s="33"/>
    </row>
    <row r="367" ht="15.75" customHeight="1">
      <c r="B367" s="33"/>
    </row>
    <row r="368" ht="15.75" customHeight="1">
      <c r="B368" s="33"/>
    </row>
    <row r="369" ht="15.75" customHeight="1">
      <c r="B369" s="33"/>
    </row>
    <row r="370" ht="15.75" customHeight="1">
      <c r="B370" s="33"/>
    </row>
    <row r="371" ht="15.75" customHeight="1">
      <c r="B371" s="33"/>
    </row>
    <row r="372" ht="15.75" customHeight="1">
      <c r="B372" s="33"/>
    </row>
    <row r="373" ht="15.75" customHeight="1">
      <c r="B373" s="33"/>
    </row>
    <row r="374" ht="15.75" customHeight="1">
      <c r="B374" s="33"/>
    </row>
    <row r="375" ht="15.75" customHeight="1">
      <c r="B375" s="33"/>
    </row>
    <row r="376" ht="15.75" customHeight="1">
      <c r="B376" s="33"/>
    </row>
    <row r="377" ht="15.75" customHeight="1">
      <c r="B377" s="33"/>
    </row>
    <row r="378" ht="15.75" customHeight="1">
      <c r="B378" s="33"/>
    </row>
    <row r="379" ht="15.75" customHeight="1">
      <c r="B379" s="33"/>
    </row>
    <row r="380" ht="15.75" customHeight="1">
      <c r="B380" s="33"/>
    </row>
    <row r="381" ht="15.75" customHeight="1">
      <c r="B381" s="33"/>
    </row>
    <row r="382" ht="15.75" customHeight="1">
      <c r="B382" s="33"/>
    </row>
    <row r="383" ht="15.75" customHeight="1">
      <c r="B383" s="33"/>
    </row>
    <row r="384" ht="15.75" customHeight="1">
      <c r="B384" s="33"/>
    </row>
    <row r="385" ht="15.75" customHeight="1">
      <c r="B385" s="33"/>
    </row>
    <row r="386" ht="15.75" customHeight="1">
      <c r="B386" s="33"/>
    </row>
    <row r="387" ht="15.75" customHeight="1">
      <c r="B387" s="33"/>
    </row>
    <row r="388" ht="15.75" customHeight="1">
      <c r="B388" s="33"/>
    </row>
    <row r="389" ht="15.75" customHeight="1">
      <c r="B389" s="33"/>
    </row>
    <row r="390" ht="15.75" customHeight="1">
      <c r="B390" s="33"/>
    </row>
    <row r="391" ht="15.75" customHeight="1">
      <c r="B391" s="33"/>
    </row>
    <row r="392" ht="15.75" customHeight="1">
      <c r="B392" s="33"/>
    </row>
    <row r="393" ht="15.75" customHeight="1">
      <c r="B393" s="33"/>
    </row>
    <row r="394" ht="15.75" customHeight="1">
      <c r="B394" s="33"/>
    </row>
    <row r="395" ht="15.75" customHeight="1">
      <c r="B395" s="33"/>
    </row>
    <row r="396" ht="15.75" customHeight="1">
      <c r="B396" s="33"/>
    </row>
    <row r="397" ht="15.75" customHeight="1">
      <c r="B397" s="33"/>
    </row>
    <row r="398" ht="15.75" customHeight="1">
      <c r="B398" s="33"/>
    </row>
    <row r="399" ht="15.75" customHeight="1">
      <c r="B399" s="33"/>
    </row>
    <row r="400" ht="15.75" customHeight="1">
      <c r="B400" s="33"/>
    </row>
    <row r="401" ht="15.75" customHeight="1">
      <c r="B401" s="33"/>
    </row>
    <row r="402" ht="15.75" customHeight="1">
      <c r="B402" s="33"/>
    </row>
    <row r="403" ht="15.75" customHeight="1">
      <c r="B403" s="33"/>
    </row>
    <row r="404" ht="15.75" customHeight="1">
      <c r="B404" s="33"/>
    </row>
    <row r="405" ht="15.75" customHeight="1">
      <c r="B405" s="33"/>
    </row>
    <row r="406" ht="15.75" customHeight="1">
      <c r="B406" s="33"/>
    </row>
    <row r="407" ht="15.75" customHeight="1">
      <c r="B407" s="33"/>
    </row>
    <row r="408" ht="15.75" customHeight="1">
      <c r="B408" s="33"/>
    </row>
    <row r="409" ht="15.75" customHeight="1">
      <c r="B409" s="33"/>
    </row>
    <row r="410" ht="15.75" customHeight="1">
      <c r="B410" s="33"/>
    </row>
    <row r="411" ht="15.75" customHeight="1">
      <c r="B411" s="33"/>
    </row>
    <row r="412" ht="15.75" customHeight="1">
      <c r="B412" s="33"/>
    </row>
    <row r="413" ht="15.75" customHeight="1">
      <c r="B413" s="33"/>
    </row>
    <row r="414" ht="15.75" customHeight="1">
      <c r="B414" s="33"/>
    </row>
    <row r="415" ht="15.75" customHeight="1">
      <c r="B415" s="33"/>
    </row>
    <row r="416" ht="15.75" customHeight="1">
      <c r="B416" s="33"/>
    </row>
    <row r="417" ht="15.75" customHeight="1">
      <c r="B417" s="33"/>
    </row>
    <row r="418" ht="15.75" customHeight="1">
      <c r="B418" s="33"/>
    </row>
    <row r="419" ht="15.75" customHeight="1">
      <c r="B419" s="33"/>
    </row>
    <row r="420" ht="15.75" customHeight="1">
      <c r="B420" s="33"/>
    </row>
    <row r="421" ht="15.75" customHeight="1">
      <c r="B421" s="33"/>
    </row>
    <row r="422" ht="15.75" customHeight="1">
      <c r="B422" s="33"/>
    </row>
    <row r="423" ht="15.75" customHeight="1">
      <c r="B423" s="33"/>
    </row>
    <row r="424" ht="15.75" customHeight="1">
      <c r="B424" s="33"/>
    </row>
    <row r="425" ht="15.75" customHeight="1">
      <c r="B425" s="33"/>
    </row>
    <row r="426" ht="15.75" customHeight="1">
      <c r="B426" s="33"/>
    </row>
    <row r="427" ht="15.75" customHeight="1">
      <c r="B427" s="33"/>
    </row>
    <row r="428" ht="15.75" customHeight="1">
      <c r="B428" s="33"/>
    </row>
    <row r="429" ht="15.75" customHeight="1">
      <c r="B429" s="33"/>
    </row>
    <row r="430" ht="15.75" customHeight="1">
      <c r="B430" s="33"/>
    </row>
    <row r="431" ht="15.75" customHeight="1">
      <c r="B431" s="33"/>
    </row>
    <row r="432" ht="15.75" customHeight="1">
      <c r="B432" s="33"/>
    </row>
    <row r="433" ht="15.75" customHeight="1">
      <c r="B433" s="33"/>
    </row>
    <row r="434" ht="15.75" customHeight="1">
      <c r="B434" s="33"/>
    </row>
    <row r="435" ht="15.75" customHeight="1">
      <c r="B435" s="33"/>
    </row>
    <row r="436" ht="15.75" customHeight="1">
      <c r="B436" s="33"/>
    </row>
    <row r="437" ht="15.75" customHeight="1">
      <c r="B437" s="33"/>
    </row>
    <row r="438" ht="15.75" customHeight="1">
      <c r="B438" s="33"/>
    </row>
    <row r="439" ht="15.75" customHeight="1">
      <c r="B439" s="33"/>
    </row>
    <row r="440" ht="15.75" customHeight="1">
      <c r="B440" s="33"/>
    </row>
    <row r="441" ht="15.75" customHeight="1">
      <c r="B441" s="33"/>
    </row>
    <row r="442" ht="15.75" customHeight="1">
      <c r="B442" s="33"/>
    </row>
    <row r="443" ht="15.75" customHeight="1">
      <c r="B443" s="33"/>
    </row>
    <row r="444" ht="15.75" customHeight="1">
      <c r="B444" s="33"/>
    </row>
    <row r="445" ht="15.75" customHeight="1">
      <c r="B445" s="33"/>
    </row>
    <row r="446" ht="15.75" customHeight="1">
      <c r="B446" s="33"/>
    </row>
    <row r="447" ht="15.75" customHeight="1">
      <c r="B447" s="33"/>
    </row>
    <row r="448" ht="15.75" customHeight="1">
      <c r="B448" s="33"/>
    </row>
    <row r="449" ht="15.75" customHeight="1">
      <c r="B449" s="33"/>
    </row>
    <row r="450" ht="15.75" customHeight="1">
      <c r="B450" s="33"/>
    </row>
    <row r="451" ht="15.75" customHeight="1">
      <c r="B451" s="33"/>
    </row>
    <row r="452" ht="15.75" customHeight="1">
      <c r="B452" s="33"/>
    </row>
    <row r="453" ht="15.75" customHeight="1">
      <c r="B453" s="33"/>
    </row>
    <row r="454" ht="15.75" customHeight="1">
      <c r="B454" s="33"/>
    </row>
    <row r="455" ht="15.75" customHeight="1">
      <c r="B455" s="33"/>
    </row>
    <row r="456" ht="15.75" customHeight="1">
      <c r="B456" s="33"/>
    </row>
    <row r="457" ht="15.75" customHeight="1">
      <c r="B457" s="33"/>
    </row>
    <row r="458" ht="15.75" customHeight="1">
      <c r="B458" s="33"/>
    </row>
    <row r="459" ht="15.75" customHeight="1">
      <c r="B459" s="33"/>
    </row>
    <row r="460" ht="15.75" customHeight="1">
      <c r="B460" s="33"/>
    </row>
    <row r="461" ht="15.75" customHeight="1">
      <c r="B461" s="33"/>
    </row>
    <row r="462" ht="15.75" customHeight="1">
      <c r="B462" s="33"/>
    </row>
    <row r="463" ht="15.75" customHeight="1">
      <c r="B463" s="33"/>
    </row>
    <row r="464" ht="15.75" customHeight="1">
      <c r="B464" s="33"/>
    </row>
    <row r="465" ht="15.75" customHeight="1">
      <c r="B465" s="33"/>
    </row>
    <row r="466" ht="15.75" customHeight="1">
      <c r="B466" s="33"/>
    </row>
    <row r="467" ht="15.75" customHeight="1">
      <c r="B467" s="33"/>
    </row>
    <row r="468" ht="15.75" customHeight="1">
      <c r="B468" s="33"/>
    </row>
    <row r="469" ht="15.75" customHeight="1">
      <c r="B469" s="33"/>
    </row>
    <row r="470" ht="15.75" customHeight="1">
      <c r="B470" s="33"/>
    </row>
    <row r="471" ht="15.75" customHeight="1">
      <c r="B471" s="33"/>
    </row>
    <row r="472" ht="15.75" customHeight="1">
      <c r="B472" s="33"/>
    </row>
    <row r="473" ht="15.75" customHeight="1">
      <c r="B473" s="33"/>
    </row>
    <row r="474" ht="15.75" customHeight="1">
      <c r="B474" s="33"/>
    </row>
    <row r="475" ht="15.75" customHeight="1">
      <c r="B475" s="33"/>
    </row>
    <row r="476" ht="15.75" customHeight="1">
      <c r="B476" s="33"/>
    </row>
    <row r="477" ht="15.75" customHeight="1">
      <c r="B477" s="33"/>
    </row>
    <row r="478" ht="15.75" customHeight="1">
      <c r="B478" s="33"/>
    </row>
    <row r="479" ht="15.75" customHeight="1">
      <c r="B479" s="33"/>
    </row>
    <row r="480" ht="15.75" customHeight="1">
      <c r="B480" s="33"/>
    </row>
    <row r="481" ht="15.75" customHeight="1">
      <c r="B481" s="33"/>
    </row>
    <row r="482" ht="15.75" customHeight="1">
      <c r="B482" s="33"/>
    </row>
    <row r="483" ht="15.75" customHeight="1">
      <c r="B483" s="33"/>
    </row>
    <row r="484" ht="15.75" customHeight="1">
      <c r="B484" s="33"/>
    </row>
    <row r="485" ht="15.75" customHeight="1">
      <c r="B485" s="33"/>
    </row>
    <row r="486" ht="15.75" customHeight="1">
      <c r="B486" s="33"/>
    </row>
    <row r="487" ht="15.75" customHeight="1">
      <c r="B487" s="33"/>
    </row>
    <row r="488" ht="15.75" customHeight="1">
      <c r="B488" s="33"/>
    </row>
    <row r="489" ht="15.75" customHeight="1">
      <c r="B489" s="33"/>
    </row>
    <row r="490" ht="15.75" customHeight="1">
      <c r="B490" s="33"/>
    </row>
    <row r="491" ht="15.75" customHeight="1">
      <c r="B491" s="33"/>
    </row>
    <row r="492" ht="15.75" customHeight="1">
      <c r="B492" s="33"/>
    </row>
    <row r="493" ht="15.75" customHeight="1">
      <c r="B493" s="33"/>
    </row>
    <row r="494" ht="15.75" customHeight="1">
      <c r="B494" s="33"/>
    </row>
    <row r="495" ht="15.75" customHeight="1">
      <c r="B495" s="33"/>
    </row>
    <row r="496" ht="15.75" customHeight="1">
      <c r="B496" s="33"/>
    </row>
    <row r="497" ht="15.75" customHeight="1">
      <c r="B497" s="33"/>
    </row>
    <row r="498" ht="15.75" customHeight="1">
      <c r="B498" s="33"/>
    </row>
    <row r="499" ht="15.75" customHeight="1">
      <c r="B499" s="33"/>
    </row>
    <row r="500" ht="15.75" customHeight="1">
      <c r="B500" s="33"/>
    </row>
    <row r="501" ht="15.75" customHeight="1">
      <c r="B501" s="33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17:F17"/>
    <mergeCell ref="A30:F30"/>
    <mergeCell ref="A47:F47"/>
    <mergeCell ref="A55:F55"/>
    <mergeCell ref="A71:F71"/>
    <mergeCell ref="A96:F96"/>
    <mergeCell ref="A207:F207"/>
    <mergeCell ref="A216:F216"/>
    <mergeCell ref="A225:F225"/>
    <mergeCell ref="A245:F245"/>
    <mergeCell ref="A254:F254"/>
    <mergeCell ref="A263:F263"/>
    <mergeCell ref="A286:F286"/>
    <mergeCell ref="A295:F295"/>
    <mergeCell ref="A109:F109"/>
    <mergeCell ref="A124:F124"/>
    <mergeCell ref="A142:F142"/>
    <mergeCell ref="A143:F143"/>
    <mergeCell ref="A165:F165"/>
    <mergeCell ref="A174:F174"/>
    <mergeCell ref="A183:F183"/>
  </mergeCells>
  <dataValidations>
    <dataValidation type="list" allowBlank="1" showErrorMessage="1" sqref="F3:F14 F19:F26 F32:F43 F49:F52 F57:F68 F73:F92 F98:F106 F111:F121 F126:F138 F145:F161 F167:F170 F176:F179 F185:F203 F209:F212 F218:F221 F227:F241 F247:F250 F256:F259 F265:F282 F288:F291 F297:F300">
      <formula1>"ok,repair"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